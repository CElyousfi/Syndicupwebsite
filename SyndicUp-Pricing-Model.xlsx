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Unit economics" sheetId="2" state="visible" r:id="rId4"/>
    <sheet name="Break-even" sheetId="3" state="visible" r:id="rId5"/>
    <sheet name="Scenario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<sst xmlns="http://schemas.openxmlformats.org/spreadsheetml/2006/main" count="194" uniqueCount="145">
  <si>
    <t xml:space="preserve">SyndicUp — Pricing model inputs</t>
  </si>
  <si>
    <t xml:space="preserve">Blue cells with yellow fill are inputs — edit them. Everything else recalculates.</t>
  </si>
  <si>
    <t xml:space="preserve">FIXED COSTS (MAD / month)</t>
  </si>
  <si>
    <t xml:space="preserve">Render (4 × starter, staging + prod)</t>
  </si>
  <si>
    <t xml:space="preserve">≈ 4 × 7 USD at 10 MAD/USD — render.yaml</t>
  </si>
  <si>
    <t xml:space="preserve">Supabase Pro</t>
  </si>
  <si>
    <t xml:space="preserve">25 USD</t>
  </si>
  <si>
    <t xml:space="preserve">Inngest + Upstash + Resend + Sentry + Better Stack</t>
  </si>
  <si>
    <t xml:space="preserve">Estimate at low volume; several have free tiers</t>
  </si>
  <si>
    <t xml:space="preserve">Claude subscription</t>
  </si>
  <si>
    <t xml:space="preserve">Your figure — replace</t>
  </si>
  <si>
    <t xml:space="preserve">Apple + Google developer, domains, misc (annualised)</t>
  </si>
  <si>
    <t xml:space="preserve">99 USD/yr + 25 USD once + domains</t>
  </si>
  <si>
    <t xml:space="preserve">Other fixed (accountant, tools)</t>
  </si>
  <si>
    <t xml:space="preserve">Replace with your real number</t>
  </si>
  <si>
    <t xml:space="preserve">Total fixed costs</t>
  </si>
  <si>
    <t xml:space="preserve">formula</t>
  </si>
  <si>
    <t xml:space="preserve">VARIABLE COSTS</t>
  </si>
  <si>
    <t xml:space="preserve">SMS cost per message (MAD)</t>
  </si>
  <si>
    <t xml:space="preserve">Moroccan aggregator, typical range 0.25–0.50</t>
  </si>
  <si>
    <t xml:space="preserve">SMS included per lot per month</t>
  </si>
  <si>
    <t xml:space="preserve">Appel de fonds + one relance</t>
  </si>
  <si>
    <t xml:space="preserve">Share of included SMS actually sent</t>
  </si>
  <si>
    <t xml:space="preserve">Not every lot gets both messages</t>
  </si>
  <si>
    <t xml:space="preserve">Support cost per active residence per month (MAD)</t>
  </si>
  <si>
    <t xml:space="preserve">Your time at ~150 MAD/h, 12 min/residence/month once onboarded</t>
  </si>
  <si>
    <t xml:space="preserve">CMI fee on online payments</t>
  </si>
  <si>
    <t xml:space="preserve">Your cost; you charge 1.5%</t>
  </si>
  <si>
    <t xml:space="preserve">TAX</t>
  </si>
  <si>
    <t xml:space="preserve">VAT rate (0 if auto-entrepreneur below threshold)</t>
  </si>
  <si>
    <t xml:space="preserve">Prices are TTC; net = TTC / (1+VAT)</t>
  </si>
  <si>
    <t xml:space="preserve">PRICE GRID (MAD TTC / lot / month)</t>
  </si>
  <si>
    <t xml:space="preserve">Petit — per lot</t>
  </si>
  <si>
    <t xml:space="preserve">Petit — monthly floor</t>
  </si>
  <si>
    <t xml:space="preserve">Moyen — per lot</t>
  </si>
  <si>
    <t xml:space="preserve">Moyen — monthly floor</t>
  </si>
  <si>
    <t xml:space="preserve">Grand — per lot</t>
  </si>
  <si>
    <t xml:space="preserve">Grand — monthly floor</t>
  </si>
  <si>
    <t xml:space="preserve">Cabinet — per lot, &lt; 500 lots</t>
  </si>
  <si>
    <t xml:space="preserve">Cabinet — per lot, 500–1 999 lots</t>
  </si>
  <si>
    <t xml:space="preserve">Cabinet — per lot, 2 000+ lots</t>
  </si>
  <si>
    <t xml:space="preserve">Cabinet — monthly floor</t>
  </si>
  <si>
    <t xml:space="preserve">TYPICAL ACCOUNT SIZE (lots)</t>
  </si>
  <si>
    <t xml:space="preserve">Petit residence</t>
  </si>
  <si>
    <t xml:space="preserve">Moyen residence</t>
  </si>
  <si>
    <t xml:space="preserve">The vitrine example</t>
  </si>
  <si>
    <t xml:space="preserve">Grand residence</t>
  </si>
  <si>
    <t xml:space="preserve">Cabinet portfolio</t>
  </si>
  <si>
    <t xml:space="preserve">≈ 20 mandates × 40 lots</t>
  </si>
  <si>
    <t xml:space="preserve">TARGETS (MAD / month, net of VAT)</t>
  </si>
  <si>
    <t xml:space="preserve">Founder salary target</t>
  </si>
  <si>
    <t xml:space="preserve">Comfortable net target</t>
  </si>
  <si>
    <t xml:space="preserve">Scale net target</t>
  </si>
  <si>
    <t xml:space="preserve">COMPANY — SARL (3 founders)</t>
  </si>
  <si>
    <t xml:space="preserve">Accountant / fiduciaire (MAD / month)</t>
  </si>
  <si>
    <t xml:space="preserve">Typical SARL bookkeeping + déclarations TVA/IS</t>
  </si>
  <si>
    <t xml:space="preserve">CNSS + AMO employer rate on salaries</t>
  </si>
  <si>
    <t xml:space="preserve">Approx. employer share — confirm with fiduciaire</t>
  </si>
  <si>
    <t xml:space="preserve">Corporate tax (IS) rate on profit</t>
  </si>
  <si>
    <t xml:space="preserve">2026 target rate for profit ≤ 100M MAD — confirm; cotisation minimale applies even at a loss</t>
  </si>
  <si>
    <t xml:space="preserve">Cotisation minimale (share of turnover, floor 3 000 MAD/yr)</t>
  </si>
  <si>
    <t xml:space="preserve">Confirm current rate with fiduciaire</t>
  </si>
  <si>
    <t xml:space="preserve">TEAM &amp; OFFICE TRAJECTORY</t>
  </si>
  <si>
    <t xml:space="preserve">Founder salary per founder (MAD gross / month)</t>
  </si>
  <si>
    <t xml:space="preserve">Recommended: modest first draw, raised as lots grow</t>
  </si>
  <si>
    <t xml:space="preserve">Number of founders drawing salary</t>
  </si>
  <si>
    <t xml:space="preserve">Month founders start drawing salary</t>
  </si>
  <si>
    <t xml:space="preserve">Recommended trigger: ≥ 4 000 paid lots — see strategy §7b</t>
  </si>
  <si>
    <t xml:space="preserve">First hire — onboarding/support (gross / month)</t>
  </si>
  <si>
    <t xml:space="preserve">Month of first hire</t>
  </si>
  <si>
    <t xml:space="preserve">Recommended trigger: ≥ 8 000 lots or &gt; 12 onboardings/month</t>
  </si>
  <si>
    <t xml:space="preserve">Second hire — sales / gestionnaire relations (gross / month)</t>
  </si>
  <si>
    <t xml:space="preserve">Month of second hire</t>
  </si>
  <si>
    <t xml:space="preserve">Beyond the 24-month horizon by default</t>
  </si>
  <si>
    <t xml:space="preserve">Plateau / office rent + charges (MAD / month)</t>
  </si>
  <si>
    <t xml:space="preserve">Casablanca plateau ~40–60 m² incl. charges; 0 until the month below</t>
  </si>
  <si>
    <t xml:space="preserve">Month office starts</t>
  </si>
  <si>
    <t xml:space="preserve">Recommended: after first hire, not before</t>
  </si>
  <si>
    <t xml:space="preserve">Segment</t>
  </si>
  <si>
    <t xml:space="preserve">Lots (typical)</t>
  </si>
  <si>
    <t xml:space="preserve">Price / lot TTC</t>
  </si>
  <si>
    <t xml:space="preserve">Floor TTC</t>
  </si>
  <si>
    <t xml:space="preserve">Monthly bill TTC</t>
  </si>
  <si>
    <t xml:space="preserve">Annual bill TTC</t>
  </si>
  <si>
    <t xml:space="preserve">Net of VAT / month</t>
  </si>
  <si>
    <t xml:space="preserve">SMS cost / month</t>
  </si>
  <si>
    <t xml:space="preserve">Support cost / month</t>
  </si>
  <si>
    <t xml:space="preserve">Contribution / month</t>
  </si>
  <si>
    <t xml:space="preserve">Gross margin %</t>
  </si>
  <si>
    <t xml:space="preserve">Net per lot / month</t>
  </si>
  <si>
    <t xml:space="preserve">Petit</t>
  </si>
  <si>
    <t xml:space="preserve">Moyen</t>
  </si>
  <si>
    <t xml:space="preserve">Grand</t>
  </si>
  <si>
    <t xml:space="preserve">Cabinet</t>
  </si>
  <si>
    <t xml:space="preserve">Notes</t>
  </si>
  <si>
    <t xml:space="preserve">Monthly bill = MAX(lots × price, floor). Cabinet support assumed half the per-residence cost (they onboard their own portfolio); portfolio ÷ 40 lots per mandate.</t>
  </si>
  <si>
    <t xml:space="preserve">Blended net per lot (weighted by scenario mix) is computed on the Scenarios sheet.</t>
  </si>
  <si>
    <t xml:space="preserve">Target (net MAD / month)</t>
  </si>
  <si>
    <t xml:space="preserve">Amount</t>
  </si>
  <si>
    <t xml:space="preserve">Lots at Moyen net/lot</t>
  </si>
  <si>
    <t xml:space="preserve">≈ Moyen residences</t>
  </si>
  <si>
    <t xml:space="preserve">≈ Cabinets (800 lots)</t>
  </si>
  <si>
    <t xml:space="preserve">Cover fixed costs</t>
  </si>
  <si>
    <t xml:space="preserve">Founder salary + fixed</t>
  </si>
  <si>
    <t xml:space="preserve">Comfortable net + fixed</t>
  </si>
  <si>
    <t xml:space="preserve">Scale net + fixed</t>
  </si>
  <si>
    <t xml:space="preserve">Reads: lots needed if every lot were a Moyen residence, or cabinets needed if every lot were cabinet. Reality is a mix — see Scenarios.</t>
  </si>
  <si>
    <t xml:space="preserve">24-month projection — three adoption scenarios</t>
  </si>
  <si>
    <t xml:space="preserve">Inputs: new accounts per month per segment (blue). Churn applied monthly to the active base.</t>
  </si>
  <si>
    <t xml:space="preserve">Slow (résistance wins)</t>
  </si>
  <si>
    <t xml:space="preserve">New accounts / month — Petit</t>
  </si>
  <si>
    <t xml:space="preserve">New accounts / month — Moyen</t>
  </si>
  <si>
    <t xml:space="preserve">New accounts / month — Grand</t>
  </si>
  <si>
    <t xml:space="preserve">New cabinets / month</t>
  </si>
  <si>
    <t xml:space="preserve">Monthly churn (accounts)</t>
  </si>
  <si>
    <t xml:space="preserve">Ramp: months 1–3 at 50% of the rate above</t>
  </si>
  <si>
    <t xml:space="preserve">Month</t>
  </si>
  <si>
    <t xml:space="preserve">Active Petit accounts</t>
  </si>
  <si>
    <t xml:space="preserve">Active Moyen accounts</t>
  </si>
  <si>
    <t xml:space="preserve">Active Grand accounts</t>
  </si>
  <si>
    <t xml:space="preserve">Active cabinets</t>
  </si>
  <si>
    <t xml:space="preserve">Total paid lots</t>
  </si>
  <si>
    <t xml:space="preserve">Revenue TTC (MAD)</t>
  </si>
  <si>
    <t xml:space="preserve">Revenue net of VAT</t>
  </si>
  <si>
    <t xml:space="preserve">Variable costs (SMS + support)</t>
  </si>
  <si>
    <t xml:space="preserve">Infra fixed costs + accountant</t>
  </si>
  <si>
    <t xml:space="preserve">Founder salaries (incl. CNSS)</t>
  </si>
  <si>
    <t xml:space="preserve">Hires (incl. CNSS)</t>
  </si>
  <si>
    <t xml:space="preserve">Office</t>
  </si>
  <si>
    <t xml:space="preserve">Result before tax (MAD)</t>
  </si>
  <si>
    <t xml:space="preserve">IS + cotisation minimale</t>
  </si>
  <si>
    <t xml:space="preserve">Net result after tax</t>
  </si>
  <si>
    <t xml:space="preserve">Cumulative net after tax</t>
  </si>
  <si>
    <t xml:space="preserve">Base (plan works)</t>
  </si>
  <si>
    <t xml:space="preserve">Cabinet-led (recommended focus)</t>
  </si>
  <si>
    <t xml:space="preserve">Summary at month 12 and 24</t>
  </si>
  <si>
    <t xml:space="preserve">Scenario</t>
  </si>
  <si>
    <t xml:space="preserve">Lots M12</t>
  </si>
  <si>
    <t xml:space="preserve">Net after tax M12</t>
  </si>
  <si>
    <t xml:space="preserve">Lots M24</t>
  </si>
  <si>
    <t xml:space="preserve">Net after tax M24</t>
  </si>
  <si>
    <t xml:space="preserve">Cumulative M24</t>
  </si>
  <si>
    <t xml:space="preserve">Months profitable (of 24)</t>
  </si>
  <si>
    <t xml:space="preserve">Deepest cumulative loss (cash needed)</t>
  </si>
  <si>
    <t xml:space="preserve">Capital note: 10 000 MAD share capital covers roughly three months of infrastructure. The 'deepest cumulative loss' column is the cash the founders must inject (or defer as unpaid salary) before the company self-funds.</t>
  </si>
</sst>
</file>

<file path=xl/styles.xml><?xml version="1.0" encoding="utf-8"?>
<styleSheet xmlns="http://schemas.openxmlformats.org/spreadsheetml/2006/main">
  <numFmts count="7">
    <numFmt numFmtId="164" formatCode="General"/>
    <numFmt numFmtId="165" formatCode="#,##0&quot; MAD&quot;;\(#,##0&quot; MAD)&quot;;\-"/>
    <numFmt numFmtId="166" formatCode="#,##0.00&quot; MAD&quot;;\(#,##0.00&quot; MAD)&quot;;\-"/>
    <numFmt numFmtId="167" formatCode="0.0%"/>
    <numFmt numFmtId="168" formatCode="#,##0;\(#,##0\);\-"/>
    <numFmt numFmtId="169" formatCode="0.0"/>
    <numFmt numFmtId="170"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name val="Arial"/>
      <family val="0"/>
      <charset val="1"/>
    </font>
    <font>
      <b val="true"/>
      <sz val="11"/>
      <name val="Arial"/>
      <family val="0"/>
      <charset val="1"/>
    </font>
    <font>
      <sz val="11"/>
      <color rgb="FF0000FF"/>
      <name val="Arial"/>
      <family val="0"/>
      <charset val="1"/>
    </font>
    <font>
      <i val="true"/>
      <sz val="11"/>
      <color rgb="FF666666"/>
      <name val="Arial"/>
      <family val="0"/>
      <charset val="1"/>
    </font>
    <font>
      <b val="true"/>
      <sz val="11"/>
      <color rgb="FFFFFFFF"/>
      <name val="Arial"/>
      <family val="0"/>
      <charset val="1"/>
    </font>
    <font>
      <sz val="11"/>
      <color rgb="FF008000"/>
      <name val="Arial"/>
      <family val="0"/>
      <charset val="1"/>
    </font>
    <font>
      <b val="true"/>
      <sz val="13"/>
      <name val="Arial"/>
      <family val="0"/>
      <charset val="1"/>
    </font>
    <font>
      <b val="true"/>
      <sz val="12"/>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tru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6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0" t="s">
        <v>3</v>
      </c>
      <c r="B4" s="4" t="n">
        <v>280</v>
      </c>
      <c r="C4" s="5" t="s">
        <v>4</v>
      </c>
    </row>
    <row r="5" customFormat="false" ht="15" hidden="false" customHeight="false" outlineLevel="0" collapsed="false">
      <c r="A5" s="0" t="s">
        <v>5</v>
      </c>
      <c r="B5" s="4" t="n">
        <v>250</v>
      </c>
      <c r="C5" s="5" t="s">
        <v>6</v>
      </c>
    </row>
    <row r="6" customFormat="false" ht="15" hidden="false" customHeight="false" outlineLevel="0" collapsed="false">
      <c r="A6" s="0" t="s">
        <v>7</v>
      </c>
      <c r="B6" s="4" t="n">
        <v>700</v>
      </c>
      <c r="C6" s="5" t="s">
        <v>8</v>
      </c>
    </row>
    <row r="7" customFormat="false" ht="15" hidden="false" customHeight="false" outlineLevel="0" collapsed="false">
      <c r="A7" s="0" t="s">
        <v>9</v>
      </c>
      <c r="B7" s="4" t="n">
        <v>1000</v>
      </c>
      <c r="C7" s="5" t="s">
        <v>10</v>
      </c>
    </row>
    <row r="8" customFormat="false" ht="15" hidden="false" customHeight="false" outlineLevel="0" collapsed="false">
      <c r="A8" s="0" t="s">
        <v>11</v>
      </c>
      <c r="B8" s="4" t="n">
        <v>150</v>
      </c>
      <c r="C8" s="5" t="s">
        <v>12</v>
      </c>
    </row>
    <row r="9" customFormat="false" ht="15" hidden="false" customHeight="false" outlineLevel="0" collapsed="false">
      <c r="A9" s="0" t="s">
        <v>13</v>
      </c>
      <c r="B9" s="4" t="n">
        <v>600</v>
      </c>
      <c r="C9" s="5" t="s">
        <v>14</v>
      </c>
    </row>
    <row r="10" customFormat="false" ht="15" hidden="false" customHeight="false" outlineLevel="0" collapsed="false">
      <c r="A10" s="3" t="s">
        <v>15</v>
      </c>
      <c r="B10" s="6" t="n">
        <f aca="false">SUM(B4:B9)</f>
        <v>2980</v>
      </c>
      <c r="C10" s="5" t="s">
        <v>16</v>
      </c>
    </row>
    <row r="12" customFormat="false" ht="15" hidden="false" customHeight="false" outlineLevel="0" collapsed="false">
      <c r="A12" s="3" t="s">
        <v>17</v>
      </c>
    </row>
    <row r="13" customFormat="false" ht="15" hidden="false" customHeight="false" outlineLevel="0" collapsed="false">
      <c r="A13" s="0" t="s">
        <v>18</v>
      </c>
      <c r="B13" s="7" t="n">
        <v>0.35</v>
      </c>
      <c r="C13" s="5" t="s">
        <v>19</v>
      </c>
    </row>
    <row r="14" customFormat="false" ht="15" hidden="false" customHeight="false" outlineLevel="0" collapsed="false">
      <c r="A14" s="0" t="s">
        <v>20</v>
      </c>
      <c r="B14" s="4" t="n">
        <v>2</v>
      </c>
      <c r="C14" s="5" t="s">
        <v>21</v>
      </c>
    </row>
    <row r="15" customFormat="false" ht="15" hidden="false" customHeight="false" outlineLevel="0" collapsed="false">
      <c r="A15" s="0" t="s">
        <v>22</v>
      </c>
      <c r="B15" s="8" t="n">
        <v>0.6</v>
      </c>
      <c r="C15" s="5" t="s">
        <v>23</v>
      </c>
    </row>
    <row r="16" customFormat="false" ht="15" hidden="false" customHeight="false" outlineLevel="0" collapsed="false">
      <c r="A16" s="0" t="s">
        <v>24</v>
      </c>
      <c r="B16" s="4" t="n">
        <v>30</v>
      </c>
      <c r="C16" s="5" t="s">
        <v>25</v>
      </c>
    </row>
    <row r="17" customFormat="false" ht="15" hidden="false" customHeight="false" outlineLevel="0" collapsed="false">
      <c r="A17" s="0" t="s">
        <v>26</v>
      </c>
      <c r="B17" s="8" t="n">
        <v>0.012</v>
      </c>
      <c r="C17" s="5" t="s">
        <v>27</v>
      </c>
    </row>
    <row r="19" customFormat="false" ht="15" hidden="false" customHeight="false" outlineLevel="0" collapsed="false">
      <c r="A19" s="3" t="s">
        <v>28</v>
      </c>
    </row>
    <row r="20" customFormat="false" ht="15" hidden="false" customHeight="false" outlineLevel="0" collapsed="false">
      <c r="A20" s="0" t="s">
        <v>29</v>
      </c>
      <c r="B20" s="8" t="n">
        <v>0.2</v>
      </c>
      <c r="C20" s="5" t="s">
        <v>30</v>
      </c>
    </row>
    <row r="22" customFormat="false" ht="15" hidden="false" customHeight="false" outlineLevel="0" collapsed="false">
      <c r="A22" s="3" t="s">
        <v>31</v>
      </c>
    </row>
    <row r="23" customFormat="false" ht="15" hidden="false" customHeight="false" outlineLevel="0" collapsed="false">
      <c r="A23" s="0" t="s">
        <v>32</v>
      </c>
      <c r="B23" s="4" t="n">
        <v>6</v>
      </c>
    </row>
    <row r="24" customFormat="false" ht="15" hidden="false" customHeight="false" outlineLevel="0" collapsed="false">
      <c r="A24" s="0" t="s">
        <v>33</v>
      </c>
      <c r="B24" s="4" t="n">
        <v>99</v>
      </c>
    </row>
    <row r="25" customFormat="false" ht="15" hidden="false" customHeight="false" outlineLevel="0" collapsed="false">
      <c r="A25" s="0" t="s">
        <v>34</v>
      </c>
      <c r="B25" s="4" t="n">
        <v>8</v>
      </c>
    </row>
    <row r="26" customFormat="false" ht="15" hidden="false" customHeight="false" outlineLevel="0" collapsed="false">
      <c r="A26" s="0" t="s">
        <v>35</v>
      </c>
      <c r="B26" s="4" t="n">
        <v>390</v>
      </c>
    </row>
    <row r="27" customFormat="false" ht="15" hidden="false" customHeight="false" outlineLevel="0" collapsed="false">
      <c r="A27" s="0" t="s">
        <v>36</v>
      </c>
      <c r="B27" s="4" t="n">
        <v>10</v>
      </c>
    </row>
    <row r="28" customFormat="false" ht="15" hidden="false" customHeight="false" outlineLevel="0" collapsed="false">
      <c r="A28" s="0" t="s">
        <v>37</v>
      </c>
      <c r="B28" s="4" t="n">
        <v>990</v>
      </c>
    </row>
    <row r="29" customFormat="false" ht="15" hidden="false" customHeight="false" outlineLevel="0" collapsed="false">
      <c r="A29" s="0" t="s">
        <v>38</v>
      </c>
      <c r="B29" s="4" t="n">
        <v>5</v>
      </c>
    </row>
    <row r="30" customFormat="false" ht="15" hidden="false" customHeight="false" outlineLevel="0" collapsed="false">
      <c r="A30" s="0" t="s">
        <v>39</v>
      </c>
      <c r="B30" s="4" t="n">
        <v>4</v>
      </c>
    </row>
    <row r="31" customFormat="false" ht="15" hidden="false" customHeight="false" outlineLevel="0" collapsed="false">
      <c r="A31" s="0" t="s">
        <v>40</v>
      </c>
      <c r="B31" s="4" t="n">
        <v>3</v>
      </c>
    </row>
    <row r="32" customFormat="false" ht="15" hidden="false" customHeight="false" outlineLevel="0" collapsed="false">
      <c r="A32" s="0" t="s">
        <v>41</v>
      </c>
      <c r="B32" s="4" t="n">
        <v>490</v>
      </c>
    </row>
    <row r="34" customFormat="false" ht="15" hidden="false" customHeight="false" outlineLevel="0" collapsed="false">
      <c r="A34" s="3" t="s">
        <v>42</v>
      </c>
    </row>
    <row r="35" customFormat="false" ht="15" hidden="false" customHeight="false" outlineLevel="0" collapsed="false">
      <c r="A35" s="0" t="s">
        <v>43</v>
      </c>
      <c r="B35" s="9" t="n">
        <v>14</v>
      </c>
    </row>
    <row r="36" customFormat="false" ht="15" hidden="false" customHeight="false" outlineLevel="0" collapsed="false">
      <c r="A36" s="0" t="s">
        <v>44</v>
      </c>
      <c r="B36" s="9" t="n">
        <v>48</v>
      </c>
      <c r="C36" s="5" t="s">
        <v>45</v>
      </c>
    </row>
    <row r="37" customFormat="false" ht="15" hidden="false" customHeight="false" outlineLevel="0" collapsed="false">
      <c r="A37" s="0" t="s">
        <v>46</v>
      </c>
      <c r="B37" s="9" t="n">
        <v>110</v>
      </c>
    </row>
    <row r="38" customFormat="false" ht="15" hidden="false" customHeight="false" outlineLevel="0" collapsed="false">
      <c r="A38" s="0" t="s">
        <v>47</v>
      </c>
      <c r="B38" s="9" t="n">
        <v>800</v>
      </c>
      <c r="C38" s="5" t="s">
        <v>48</v>
      </c>
    </row>
    <row r="40" customFormat="false" ht="15" hidden="false" customHeight="false" outlineLevel="0" collapsed="false">
      <c r="A40" s="3" t="s">
        <v>49</v>
      </c>
    </row>
    <row r="41" customFormat="false" ht="15" hidden="false" customHeight="false" outlineLevel="0" collapsed="false">
      <c r="A41" s="0" t="s">
        <v>50</v>
      </c>
      <c r="B41" s="4" t="n">
        <v>15000</v>
      </c>
    </row>
    <row r="42" customFormat="false" ht="15" hidden="false" customHeight="false" outlineLevel="0" collapsed="false">
      <c r="A42" s="0" t="s">
        <v>51</v>
      </c>
      <c r="B42" s="4" t="n">
        <v>50000</v>
      </c>
    </row>
    <row r="43" customFormat="false" ht="15" hidden="false" customHeight="false" outlineLevel="0" collapsed="false">
      <c r="A43" s="0" t="s">
        <v>52</v>
      </c>
      <c r="B43" s="4" t="n">
        <v>100000</v>
      </c>
    </row>
    <row r="45" customFormat="false" ht="15" hidden="false" customHeight="false" outlineLevel="0" collapsed="false">
      <c r="A45" s="3" t="s">
        <v>53</v>
      </c>
    </row>
    <row r="46" customFormat="false" ht="15" hidden="false" customHeight="false" outlineLevel="0" collapsed="false">
      <c r="A46" s="0" t="s">
        <v>54</v>
      </c>
      <c r="B46" s="4" t="n">
        <v>800</v>
      </c>
      <c r="C46" s="5" t="s">
        <v>55</v>
      </c>
    </row>
    <row r="47" customFormat="false" ht="15" hidden="false" customHeight="false" outlineLevel="0" collapsed="false">
      <c r="A47" s="0" t="s">
        <v>56</v>
      </c>
      <c r="B47" s="7" t="n">
        <v>0.2109</v>
      </c>
      <c r="C47" s="5" t="s">
        <v>57</v>
      </c>
    </row>
    <row r="48" customFormat="false" ht="15" hidden="false" customHeight="false" outlineLevel="0" collapsed="false">
      <c r="A48" s="0" t="s">
        <v>58</v>
      </c>
      <c r="B48" s="7" t="n">
        <v>0.2</v>
      </c>
      <c r="C48" s="5" t="s">
        <v>59</v>
      </c>
    </row>
    <row r="49" customFormat="false" ht="15" hidden="false" customHeight="false" outlineLevel="0" collapsed="false">
      <c r="A49" s="0" t="s">
        <v>60</v>
      </c>
      <c r="B49" s="7" t="n">
        <v>0.0025</v>
      </c>
      <c r="C49" s="5" t="s">
        <v>61</v>
      </c>
    </row>
    <row r="51" customFormat="false" ht="15" hidden="false" customHeight="false" outlineLevel="0" collapsed="false">
      <c r="A51" s="3" t="s">
        <v>62</v>
      </c>
    </row>
    <row r="52" customFormat="false" ht="15" hidden="false" customHeight="false" outlineLevel="0" collapsed="false">
      <c r="A52" s="0" t="s">
        <v>63</v>
      </c>
      <c r="B52" s="4" t="n">
        <v>6000</v>
      </c>
      <c r="C52" s="5" t="s">
        <v>64</v>
      </c>
    </row>
    <row r="53" customFormat="false" ht="15" hidden="false" customHeight="false" outlineLevel="0" collapsed="false">
      <c r="A53" s="0" t="s">
        <v>65</v>
      </c>
      <c r="B53" s="9" t="n">
        <v>3</v>
      </c>
    </row>
    <row r="54" customFormat="false" ht="15" hidden="false" customHeight="false" outlineLevel="0" collapsed="false">
      <c r="A54" s="0" t="s">
        <v>66</v>
      </c>
      <c r="B54" s="9" t="n">
        <v>13</v>
      </c>
      <c r="C54" s="5" t="s">
        <v>67</v>
      </c>
    </row>
    <row r="55" customFormat="false" ht="15" hidden="false" customHeight="false" outlineLevel="0" collapsed="false">
      <c r="A55" s="0" t="s">
        <v>68</v>
      </c>
      <c r="B55" s="9" t="n">
        <v>6000</v>
      </c>
    </row>
    <row r="56" customFormat="false" ht="15" hidden="false" customHeight="false" outlineLevel="0" collapsed="false">
      <c r="A56" s="0" t="s">
        <v>69</v>
      </c>
      <c r="B56" s="9" t="n">
        <v>19</v>
      </c>
      <c r="C56" s="5" t="s">
        <v>70</v>
      </c>
    </row>
    <row r="57" customFormat="false" ht="15" hidden="false" customHeight="false" outlineLevel="0" collapsed="false">
      <c r="A57" s="0" t="s">
        <v>71</v>
      </c>
      <c r="B57" s="9" t="n">
        <v>7000</v>
      </c>
    </row>
    <row r="58" customFormat="false" ht="15" hidden="false" customHeight="false" outlineLevel="0" collapsed="false">
      <c r="A58" s="0" t="s">
        <v>72</v>
      </c>
      <c r="B58" s="9" t="n">
        <v>30</v>
      </c>
      <c r="C58" s="5" t="s">
        <v>73</v>
      </c>
    </row>
    <row r="59" customFormat="false" ht="15" hidden="false" customHeight="false" outlineLevel="0" collapsed="false">
      <c r="A59" s="0" t="s">
        <v>74</v>
      </c>
      <c r="B59" s="4" t="n">
        <v>5000</v>
      </c>
      <c r="C59" s="5" t="s">
        <v>75</v>
      </c>
    </row>
    <row r="60" customFormat="false" ht="15" hidden="false" customHeight="false" outlineLevel="0" collapsed="false">
      <c r="A60" s="0" t="s">
        <v>76</v>
      </c>
      <c r="B60" s="9" t="n">
        <v>25</v>
      </c>
      <c r="C60" s="5"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16"/>
    <col collapsed="false" customWidth="true" hidden="false" outlineLevel="0" max="4" min="4" style="0" width="12"/>
    <col collapsed="false" customWidth="true" hidden="false" outlineLevel="0" max="5" min="5" style="0" width="18"/>
    <col collapsed="false" customWidth="true" hidden="false" outlineLevel="0" max="6" min="6" style="0" width="16"/>
    <col collapsed="false" customWidth="true" hidden="false" outlineLevel="0" max="7" min="7" style="0" width="18"/>
    <col collapsed="false" customWidth="true" hidden="false" outlineLevel="0" max="8" min="8" style="0" width="16"/>
    <col collapsed="false" customWidth="true" hidden="false" outlineLevel="0" max="9" min="9" style="0" width="18"/>
    <col collapsed="false" customWidth="true" hidden="false" outlineLevel="0" max="10" min="10" style="0" width="20"/>
    <col collapsed="false" customWidth="true" hidden="false" outlineLevel="0" max="11" min="11" style="0" width="14"/>
    <col collapsed="false" customWidth="true" hidden="false" outlineLevel="0" max="12" min="12" style="0" width="16"/>
  </cols>
  <sheetData>
    <row r="1" customFormat="false" ht="26.85" hidden="false" customHeight="false" outlineLevel="0" collapsed="false">
      <c r="A1" s="10" t="s">
        <v>78</v>
      </c>
      <c r="B1" s="10" t="s">
        <v>79</v>
      </c>
      <c r="C1" s="10" t="s">
        <v>80</v>
      </c>
      <c r="D1" s="10" t="s">
        <v>81</v>
      </c>
      <c r="E1" s="10" t="s">
        <v>82</v>
      </c>
      <c r="F1" s="10" t="s">
        <v>83</v>
      </c>
      <c r="G1" s="10" t="s">
        <v>84</v>
      </c>
      <c r="H1" s="10" t="s">
        <v>85</v>
      </c>
      <c r="I1" s="10" t="s">
        <v>86</v>
      </c>
      <c r="J1" s="10" t="s">
        <v>87</v>
      </c>
      <c r="K1" s="10" t="s">
        <v>88</v>
      </c>
      <c r="L1" s="10" t="s">
        <v>89</v>
      </c>
    </row>
    <row r="2" customFormat="false" ht="15" hidden="false" customHeight="false" outlineLevel="0" collapsed="false">
      <c r="A2" s="3" t="s">
        <v>90</v>
      </c>
      <c r="B2" s="11" t="n">
        <f aca="false">Inputs!$B$35</f>
        <v>14</v>
      </c>
      <c r="C2" s="12" t="n">
        <f aca="false">Inputs!$B$23</f>
        <v>6</v>
      </c>
      <c r="D2" s="13" t="n">
        <f aca="false">Inputs!$B$24</f>
        <v>99</v>
      </c>
      <c r="E2" s="14" t="n">
        <f aca="false">MAX(B2*C2,D2)</f>
        <v>99</v>
      </c>
      <c r="F2" s="14" t="n">
        <f aca="false">E2*12</f>
        <v>1188</v>
      </c>
      <c r="G2" s="14" t="n">
        <f aca="false">E2/(1+Inputs!$B$20)</f>
        <v>82.5</v>
      </c>
      <c r="H2" s="14" t="n">
        <f aca="false">B2*Inputs!$B$14*Inputs!$B$15*Inputs!$B$13</f>
        <v>5.88</v>
      </c>
      <c r="I2" s="14" t="n">
        <f aca="false">Inputs!$B$16</f>
        <v>30</v>
      </c>
      <c r="J2" s="14" t="n">
        <f aca="false">G2-H2-I2</f>
        <v>46.62</v>
      </c>
      <c r="K2" s="15" t="n">
        <f aca="false">IF(G2=0,0,J2/G2)</f>
        <v>0.565090909090909</v>
      </c>
      <c r="L2" s="16" t="n">
        <f aca="false">IF(B2=0,0,J2/B2)</f>
        <v>3.33</v>
      </c>
    </row>
    <row r="3" customFormat="false" ht="15" hidden="false" customHeight="false" outlineLevel="0" collapsed="false">
      <c r="A3" s="3" t="s">
        <v>91</v>
      </c>
      <c r="B3" s="11" t="n">
        <f aca="false">Inputs!$B$36</f>
        <v>48</v>
      </c>
      <c r="C3" s="12" t="n">
        <f aca="false">Inputs!$B$25</f>
        <v>8</v>
      </c>
      <c r="D3" s="13" t="n">
        <f aca="false">Inputs!$B$26</f>
        <v>390</v>
      </c>
      <c r="E3" s="14" t="n">
        <f aca="false">MAX(B3*C3,D3)</f>
        <v>390</v>
      </c>
      <c r="F3" s="14" t="n">
        <f aca="false">E3*12</f>
        <v>4680</v>
      </c>
      <c r="G3" s="14" t="n">
        <f aca="false">E3/(1+Inputs!$B$20)</f>
        <v>325</v>
      </c>
      <c r="H3" s="14" t="n">
        <f aca="false">B3*Inputs!$B$14*Inputs!$B$15*Inputs!$B$13</f>
        <v>20.16</v>
      </c>
      <c r="I3" s="14" t="n">
        <f aca="false">Inputs!$B$16</f>
        <v>30</v>
      </c>
      <c r="J3" s="14" t="n">
        <f aca="false">G3-H3-I3</f>
        <v>274.84</v>
      </c>
      <c r="K3" s="15" t="n">
        <f aca="false">IF(G3=0,0,J3/G3)</f>
        <v>0.845661538461539</v>
      </c>
      <c r="L3" s="16" t="n">
        <f aca="false">IF(B3=0,0,J3/B3)</f>
        <v>5.72583333333333</v>
      </c>
    </row>
    <row r="4" customFormat="false" ht="15" hidden="false" customHeight="false" outlineLevel="0" collapsed="false">
      <c r="A4" s="3" t="s">
        <v>92</v>
      </c>
      <c r="B4" s="11" t="n">
        <f aca="false">Inputs!$B$37</f>
        <v>110</v>
      </c>
      <c r="C4" s="12" t="n">
        <f aca="false">Inputs!$B$27</f>
        <v>10</v>
      </c>
      <c r="D4" s="13" t="n">
        <f aca="false">Inputs!$B$28</f>
        <v>990</v>
      </c>
      <c r="E4" s="14" t="n">
        <f aca="false">MAX(B4*C4,D4)</f>
        <v>1100</v>
      </c>
      <c r="F4" s="14" t="n">
        <f aca="false">E4*12</f>
        <v>13200</v>
      </c>
      <c r="G4" s="14" t="n">
        <f aca="false">E4/(1+Inputs!$B$20)</f>
        <v>916.666666666667</v>
      </c>
      <c r="H4" s="14" t="n">
        <f aca="false">B4*Inputs!$B$14*Inputs!$B$15*Inputs!$B$13</f>
        <v>46.2</v>
      </c>
      <c r="I4" s="14" t="n">
        <f aca="false">Inputs!$B$16</f>
        <v>30</v>
      </c>
      <c r="J4" s="14" t="n">
        <f aca="false">G4-H4-I4</f>
        <v>840.466666666667</v>
      </c>
      <c r="K4" s="15" t="n">
        <f aca="false">IF(G4=0,0,J4/G4)</f>
        <v>0.916872727272727</v>
      </c>
      <c r="L4" s="16" t="n">
        <f aca="false">IF(B4=0,0,J4/B4)</f>
        <v>7.64060606060606</v>
      </c>
    </row>
    <row r="5" customFormat="false" ht="15" hidden="false" customHeight="false" outlineLevel="0" collapsed="false">
      <c r="A5" s="3" t="s">
        <v>93</v>
      </c>
      <c r="B5" s="11" t="n">
        <f aca="false">Inputs!$B$38</f>
        <v>800</v>
      </c>
      <c r="C5" s="12" t="n">
        <f aca="false">IF(Inputs!$B$38&gt;=2000,Inputs!$B$31,IF(Inputs!$B$38&gt;=500,Inputs!$B$30,Inputs!$B$29))</f>
        <v>4</v>
      </c>
      <c r="D5" s="13" t="n">
        <f aca="false">Inputs!$B$32</f>
        <v>490</v>
      </c>
      <c r="E5" s="14" t="n">
        <f aca="false">MAX(B5*C5,D5)</f>
        <v>3200</v>
      </c>
      <c r="F5" s="14" t="n">
        <f aca="false">E5*12</f>
        <v>38400</v>
      </c>
      <c r="G5" s="14" t="n">
        <f aca="false">E5/(1+Inputs!$B$20)</f>
        <v>2666.66666666667</v>
      </c>
      <c r="H5" s="14" t="n">
        <f aca="false">B5*Inputs!$B$14*Inputs!$B$15*Inputs!$B$13</f>
        <v>336</v>
      </c>
      <c r="I5" s="14" t="n">
        <f aca="false">Inputs!$B$16*B5/40*0.5</f>
        <v>300</v>
      </c>
      <c r="J5" s="14" t="n">
        <f aca="false">G5-H5-I5</f>
        <v>2030.66666666667</v>
      </c>
      <c r="K5" s="15" t="n">
        <f aca="false">IF(G5=0,0,J5/G5)</f>
        <v>0.7615</v>
      </c>
      <c r="L5" s="16" t="n">
        <f aca="false">IF(B5=0,0,J5/B5)</f>
        <v>2.53833333333333</v>
      </c>
    </row>
    <row r="7" customFormat="false" ht="15" hidden="false" customHeight="false" outlineLevel="0" collapsed="false">
      <c r="A7" s="3" t="s">
        <v>94</v>
      </c>
    </row>
    <row r="8" customFormat="false" ht="15" hidden="false" customHeight="false" outlineLevel="0" collapsed="false">
      <c r="A8" s="2" t="s">
        <v>95</v>
      </c>
    </row>
    <row r="9" customFormat="false" ht="15" hidden="false" customHeight="false" outlineLevel="0" collapsed="false">
      <c r="A9" s="2"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8"/>
  </cols>
  <sheetData>
    <row r="1" customFormat="false" ht="26.85" hidden="false" customHeight="false" outlineLevel="0" collapsed="false">
      <c r="A1" s="10" t="s">
        <v>97</v>
      </c>
      <c r="B1" s="10" t="s">
        <v>98</v>
      </c>
      <c r="C1" s="10" t="s">
        <v>99</v>
      </c>
      <c r="D1" s="10" t="s">
        <v>100</v>
      </c>
      <c r="E1" s="10" t="s">
        <v>101</v>
      </c>
    </row>
    <row r="2" customFormat="false" ht="15" hidden="false" customHeight="false" outlineLevel="0" collapsed="false">
      <c r="A2" s="3" t="s">
        <v>102</v>
      </c>
      <c r="B2" s="14" t="n">
        <f aca="false">Inputs!$B$10</f>
        <v>2980</v>
      </c>
      <c r="C2" s="17" t="n">
        <f aca="false">B2/'Unit economics'!$L$3</f>
        <v>520.448260806287</v>
      </c>
      <c r="D2" s="17" t="n">
        <f aca="false">C2/Inputs!$B$36</f>
        <v>10.842672100131</v>
      </c>
      <c r="E2" s="18" t="n">
        <f aca="false">B2/('Unit economics'!$L$5*Inputs!$B$38)</f>
        <v>1.46749835850295</v>
      </c>
    </row>
    <row r="3" customFormat="false" ht="15" hidden="false" customHeight="false" outlineLevel="0" collapsed="false">
      <c r="A3" s="3" t="s">
        <v>103</v>
      </c>
      <c r="B3" s="14" t="n">
        <f aca="false">Inputs!$B$10+Inputs!$B$41</f>
        <v>17980</v>
      </c>
      <c r="C3" s="17" t="n">
        <f aca="false">B3/'Unit economics'!$L$3</f>
        <v>3140.15427157619</v>
      </c>
      <c r="D3" s="17" t="n">
        <f aca="false">C3/Inputs!$B$36</f>
        <v>65.4198806578373</v>
      </c>
      <c r="E3" s="18" t="n">
        <f aca="false">B3/('Unit economics'!$L$5*Inputs!$B$38)</f>
        <v>8.85423506237689</v>
      </c>
    </row>
    <row r="4" customFormat="false" ht="15" hidden="false" customHeight="false" outlineLevel="0" collapsed="false">
      <c r="A4" s="3" t="s">
        <v>104</v>
      </c>
      <c r="B4" s="14" t="n">
        <f aca="false">Inputs!$B$10+Inputs!$B$42</f>
        <v>52980</v>
      </c>
      <c r="C4" s="17" t="n">
        <f aca="false">B4/'Unit economics'!$L$3</f>
        <v>9252.80163003929</v>
      </c>
      <c r="D4" s="17" t="n">
        <f aca="false">C4/Inputs!$B$36</f>
        <v>192.766700625819</v>
      </c>
      <c r="E4" s="18" t="n">
        <f aca="false">B4/('Unit economics'!$L$5*Inputs!$B$38)</f>
        <v>26.0899540380827</v>
      </c>
    </row>
    <row r="5" customFormat="false" ht="15" hidden="false" customHeight="false" outlineLevel="0" collapsed="false">
      <c r="A5" s="3" t="s">
        <v>105</v>
      </c>
      <c r="B5" s="14" t="n">
        <f aca="false">Inputs!$B$10+Inputs!$B$43</f>
        <v>102980</v>
      </c>
      <c r="C5" s="17" t="n">
        <f aca="false">B5/'Unit economics'!$L$3</f>
        <v>17985.1549992723</v>
      </c>
      <c r="D5" s="17" t="n">
        <f aca="false">C5/Inputs!$B$36</f>
        <v>374.690729151506</v>
      </c>
      <c r="E5" s="18" t="n">
        <f aca="false">B5/('Unit economics'!$L$5*Inputs!$B$38)</f>
        <v>50.7124097176625</v>
      </c>
    </row>
    <row r="7" customFormat="false" ht="15" hidden="false" customHeight="false" outlineLevel="0" collapsed="false">
      <c r="A7" s="2"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1"/>
    <col collapsed="false" customWidth="true" hidden="false" outlineLevel="0" max="8" min="8" style="0" width="22"/>
    <col collapsed="false" customWidth="true" hidden="false" outlineLevel="0" max="25" min="9" style="0" width="11"/>
  </cols>
  <sheetData>
    <row r="1" customFormat="false" ht="16.15" hidden="false" customHeight="false" outlineLevel="0" collapsed="false">
      <c r="A1" s="19" t="s">
        <v>107</v>
      </c>
    </row>
    <row r="2" customFormat="false" ht="15" hidden="false" customHeight="false" outlineLevel="0" collapsed="false">
      <c r="A2" s="2" t="s">
        <v>108</v>
      </c>
    </row>
    <row r="4" customFormat="false" ht="15" hidden="false" customHeight="false" outlineLevel="0" collapsed="false">
      <c r="A4" s="20" t="s">
        <v>109</v>
      </c>
    </row>
    <row r="5" customFormat="false" ht="15" hidden="false" customHeight="false" outlineLevel="0" collapsed="false">
      <c r="A5" s="0" t="s">
        <v>110</v>
      </c>
      <c r="B5" s="21" t="n">
        <v>1</v>
      </c>
    </row>
    <row r="6" customFormat="false" ht="15" hidden="false" customHeight="false" outlineLevel="0" collapsed="false">
      <c r="A6" s="0" t="s">
        <v>111</v>
      </c>
      <c r="B6" s="21" t="n">
        <v>1</v>
      </c>
    </row>
    <row r="7" customFormat="false" ht="15" hidden="false" customHeight="false" outlineLevel="0" collapsed="false">
      <c r="A7" s="0" t="s">
        <v>112</v>
      </c>
      <c r="B7" s="21" t="n">
        <v>0.25</v>
      </c>
    </row>
    <row r="8" customFormat="false" ht="15" hidden="false" customHeight="false" outlineLevel="0" collapsed="false">
      <c r="A8" s="0" t="s">
        <v>113</v>
      </c>
      <c r="B8" s="21" t="n">
        <v>0.1</v>
      </c>
    </row>
    <row r="9" customFormat="false" ht="15" hidden="false" customHeight="false" outlineLevel="0" collapsed="false">
      <c r="A9" s="0" t="s">
        <v>114</v>
      </c>
      <c r="B9" s="8" t="n">
        <v>0.02</v>
      </c>
    </row>
    <row r="10" customFormat="false" ht="15" hidden="false" customHeight="false" outlineLevel="0" collapsed="false">
      <c r="A10" s="2" t="s">
        <v>115</v>
      </c>
    </row>
    <row r="11" customFormat="false" ht="15" hidden="false" customHeight="false" outlineLevel="0" collapsed="false">
      <c r="A11" s="3" t="s">
        <v>116</v>
      </c>
      <c r="B11" s="22" t="n">
        <v>1</v>
      </c>
      <c r="C11" s="22" t="n">
        <v>2</v>
      </c>
      <c r="D11" s="22" t="n">
        <v>3</v>
      </c>
      <c r="E11" s="22" t="n">
        <v>4</v>
      </c>
      <c r="F11" s="22" t="n">
        <v>5</v>
      </c>
      <c r="G11" s="22" t="n">
        <v>6</v>
      </c>
      <c r="H11" s="22" t="n">
        <v>7</v>
      </c>
      <c r="I11" s="22" t="n">
        <v>8</v>
      </c>
      <c r="J11" s="22" t="n">
        <v>9</v>
      </c>
      <c r="K11" s="22" t="n">
        <v>10</v>
      </c>
      <c r="L11" s="22" t="n">
        <v>11</v>
      </c>
      <c r="M11" s="22" t="n">
        <v>12</v>
      </c>
      <c r="N11" s="22" t="n">
        <v>13</v>
      </c>
      <c r="O11" s="22" t="n">
        <v>14</v>
      </c>
      <c r="P11" s="22" t="n">
        <v>15</v>
      </c>
      <c r="Q11" s="22" t="n">
        <v>16</v>
      </c>
      <c r="R11" s="22" t="n">
        <v>17</v>
      </c>
      <c r="S11" s="22" t="n">
        <v>18</v>
      </c>
      <c r="T11" s="22" t="n">
        <v>19</v>
      </c>
      <c r="U11" s="22" t="n">
        <v>20</v>
      </c>
      <c r="V11" s="22" t="n">
        <v>21</v>
      </c>
      <c r="W11" s="22" t="n">
        <v>22</v>
      </c>
      <c r="X11" s="22" t="n">
        <v>23</v>
      </c>
      <c r="Y11" s="22" t="n">
        <v>24</v>
      </c>
    </row>
    <row r="12" customFormat="false" ht="15" hidden="false" customHeight="false" outlineLevel="0" collapsed="false">
      <c r="A12" s="0" t="s">
        <v>117</v>
      </c>
      <c r="B12" s="18" t="n">
        <f aca="false">$B$5*IF(1&lt;=3,0.5,1)</f>
        <v>0.5</v>
      </c>
      <c r="C12" s="18" t="n">
        <f aca="false">B12*(1-$B$9)+$B$5*IF(2&lt;=3,0.5,1)</f>
        <v>0.99</v>
      </c>
      <c r="D12" s="18" t="n">
        <f aca="false">C12*(1-$B$9)+$B$5*IF(3&lt;=3,0.5,1)</f>
        <v>1.4702</v>
      </c>
      <c r="E12" s="18" t="n">
        <f aca="false">D12*(1-$B$9)+$B$5*IF(4&lt;=3,0.5,1)</f>
        <v>2.440796</v>
      </c>
      <c r="F12" s="18" t="n">
        <f aca="false">E12*(1-$B$9)+$B$5*IF(5&lt;=3,0.5,1)</f>
        <v>3.39198008</v>
      </c>
      <c r="G12" s="18" t="n">
        <f aca="false">F12*(1-$B$9)+$B$5*IF(6&lt;=3,0.5,1)</f>
        <v>4.3241404784</v>
      </c>
      <c r="H12" s="18" t="n">
        <f aca="false">G12*(1-$B$9)+$B$5*IF(7&lt;=3,0.5,1)</f>
        <v>5.237657668832</v>
      </c>
      <c r="I12" s="18" t="n">
        <f aca="false">H12*(1-$B$9)+$B$5*IF(8&lt;=3,0.5,1)</f>
        <v>6.13290451545536</v>
      </c>
      <c r="J12" s="18" t="n">
        <f aca="false">I12*(1-$B$9)+$B$5*IF(9&lt;=3,0.5,1)</f>
        <v>7.01024642514625</v>
      </c>
      <c r="K12" s="18" t="n">
        <f aca="false">J12*(1-$B$9)+$B$5*IF(10&lt;=3,0.5,1)</f>
        <v>7.87004149664333</v>
      </c>
      <c r="L12" s="18" t="n">
        <f aca="false">K12*(1-$B$9)+$B$5*IF(11&lt;=3,0.5,1)</f>
        <v>8.71264066671046</v>
      </c>
      <c r="M12" s="18" t="n">
        <f aca="false">L12*(1-$B$9)+$B$5*IF(12&lt;=3,0.5,1)</f>
        <v>9.53838785337625</v>
      </c>
      <c r="N12" s="18" t="n">
        <f aca="false">M12*(1-$B$9)+$B$5*IF(13&lt;=3,0.5,1)</f>
        <v>10.3476200963087</v>
      </c>
      <c r="O12" s="18" t="n">
        <f aca="false">N12*(1-$B$9)+$B$5*IF(14&lt;=3,0.5,1)</f>
        <v>11.1406676943826</v>
      </c>
      <c r="P12" s="18" t="n">
        <f aca="false">O12*(1-$B$9)+$B$5*IF(15&lt;=3,0.5,1)</f>
        <v>11.9178543404949</v>
      </c>
      <c r="Q12" s="18" t="n">
        <f aca="false">P12*(1-$B$9)+$B$5*IF(16&lt;=3,0.5,1)</f>
        <v>12.679497253685</v>
      </c>
      <c r="R12" s="18" t="n">
        <f aca="false">Q12*(1-$B$9)+$B$5*IF(17&lt;=3,0.5,1)</f>
        <v>13.4259073086113</v>
      </c>
      <c r="S12" s="18" t="n">
        <f aca="false">R12*(1-$B$9)+$B$5*IF(18&lt;=3,0.5,1)</f>
        <v>14.1573891624391</v>
      </c>
      <c r="T12" s="18" t="n">
        <f aca="false">S12*(1-$B$9)+$B$5*IF(19&lt;=3,0.5,1)</f>
        <v>14.8742413791903</v>
      </c>
      <c r="U12" s="18" t="n">
        <f aca="false">T12*(1-$B$9)+$B$5*IF(20&lt;=3,0.5,1)</f>
        <v>15.5767565516065</v>
      </c>
      <c r="V12" s="18" t="n">
        <f aca="false">U12*(1-$B$9)+$B$5*IF(21&lt;=3,0.5,1)</f>
        <v>16.2652214205744</v>
      </c>
      <c r="W12" s="18" t="n">
        <f aca="false">V12*(1-$B$9)+$B$5*IF(22&lt;=3,0.5,1)</f>
        <v>16.9399169921629</v>
      </c>
      <c r="X12" s="18" t="n">
        <f aca="false">W12*(1-$B$9)+$B$5*IF(23&lt;=3,0.5,1)</f>
        <v>17.6011186523196</v>
      </c>
      <c r="Y12" s="18" t="n">
        <f aca="false">X12*(1-$B$9)+$B$5*IF(24&lt;=3,0.5,1)</f>
        <v>18.2490962792732</v>
      </c>
    </row>
    <row r="13" customFormat="false" ht="15" hidden="false" customHeight="false" outlineLevel="0" collapsed="false">
      <c r="A13" s="0" t="s">
        <v>118</v>
      </c>
      <c r="B13" s="18" t="n">
        <f aca="false">$B$6*IF(1&lt;=3,0.5,1)</f>
        <v>0.5</v>
      </c>
      <c r="C13" s="18" t="n">
        <f aca="false">B13*(1-$B$9)+$B$6*IF(2&lt;=3,0.5,1)</f>
        <v>0.99</v>
      </c>
      <c r="D13" s="18" t="n">
        <f aca="false">C13*(1-$B$9)+$B$6*IF(3&lt;=3,0.5,1)</f>
        <v>1.4702</v>
      </c>
      <c r="E13" s="18" t="n">
        <f aca="false">D13*(1-$B$9)+$B$6*IF(4&lt;=3,0.5,1)</f>
        <v>2.440796</v>
      </c>
      <c r="F13" s="18" t="n">
        <f aca="false">E13*(1-$B$9)+$B$6*IF(5&lt;=3,0.5,1)</f>
        <v>3.39198008</v>
      </c>
      <c r="G13" s="18" t="n">
        <f aca="false">F13*(1-$B$9)+$B$6*IF(6&lt;=3,0.5,1)</f>
        <v>4.3241404784</v>
      </c>
      <c r="H13" s="18" t="n">
        <f aca="false">G13*(1-$B$9)+$B$6*IF(7&lt;=3,0.5,1)</f>
        <v>5.237657668832</v>
      </c>
      <c r="I13" s="18" t="n">
        <f aca="false">H13*(1-$B$9)+$B$6*IF(8&lt;=3,0.5,1)</f>
        <v>6.13290451545536</v>
      </c>
      <c r="J13" s="18" t="n">
        <f aca="false">I13*(1-$B$9)+$B$6*IF(9&lt;=3,0.5,1)</f>
        <v>7.01024642514625</v>
      </c>
      <c r="K13" s="18" t="n">
        <f aca="false">J13*(1-$B$9)+$B$6*IF(10&lt;=3,0.5,1)</f>
        <v>7.87004149664333</v>
      </c>
      <c r="L13" s="18" t="n">
        <f aca="false">K13*(1-$B$9)+$B$6*IF(11&lt;=3,0.5,1)</f>
        <v>8.71264066671046</v>
      </c>
      <c r="M13" s="18" t="n">
        <f aca="false">L13*(1-$B$9)+$B$6*IF(12&lt;=3,0.5,1)</f>
        <v>9.53838785337625</v>
      </c>
      <c r="N13" s="18" t="n">
        <f aca="false">M13*(1-$B$9)+$B$6*IF(13&lt;=3,0.5,1)</f>
        <v>10.3476200963087</v>
      </c>
      <c r="O13" s="18" t="n">
        <f aca="false">N13*(1-$B$9)+$B$6*IF(14&lt;=3,0.5,1)</f>
        <v>11.1406676943826</v>
      </c>
      <c r="P13" s="18" t="n">
        <f aca="false">O13*(1-$B$9)+$B$6*IF(15&lt;=3,0.5,1)</f>
        <v>11.9178543404949</v>
      </c>
      <c r="Q13" s="18" t="n">
        <f aca="false">P13*(1-$B$9)+$B$6*IF(16&lt;=3,0.5,1)</f>
        <v>12.679497253685</v>
      </c>
      <c r="R13" s="18" t="n">
        <f aca="false">Q13*(1-$B$9)+$B$6*IF(17&lt;=3,0.5,1)</f>
        <v>13.4259073086113</v>
      </c>
      <c r="S13" s="18" t="n">
        <f aca="false">R13*(1-$B$9)+$B$6*IF(18&lt;=3,0.5,1)</f>
        <v>14.1573891624391</v>
      </c>
      <c r="T13" s="18" t="n">
        <f aca="false">S13*(1-$B$9)+$B$6*IF(19&lt;=3,0.5,1)</f>
        <v>14.8742413791903</v>
      </c>
      <c r="U13" s="18" t="n">
        <f aca="false">T13*(1-$B$9)+$B$6*IF(20&lt;=3,0.5,1)</f>
        <v>15.5767565516065</v>
      </c>
      <c r="V13" s="18" t="n">
        <f aca="false">U13*(1-$B$9)+$B$6*IF(21&lt;=3,0.5,1)</f>
        <v>16.2652214205744</v>
      </c>
      <c r="W13" s="18" t="n">
        <f aca="false">V13*(1-$B$9)+$B$6*IF(22&lt;=3,0.5,1)</f>
        <v>16.9399169921629</v>
      </c>
      <c r="X13" s="18" t="n">
        <f aca="false">W13*(1-$B$9)+$B$6*IF(23&lt;=3,0.5,1)</f>
        <v>17.6011186523196</v>
      </c>
      <c r="Y13" s="18" t="n">
        <f aca="false">X13*(1-$B$9)+$B$6*IF(24&lt;=3,0.5,1)</f>
        <v>18.2490962792732</v>
      </c>
    </row>
    <row r="14" customFormat="false" ht="15" hidden="false" customHeight="false" outlineLevel="0" collapsed="false">
      <c r="A14" s="0" t="s">
        <v>119</v>
      </c>
      <c r="B14" s="18" t="n">
        <f aca="false">$B$7*IF(1&lt;=3,0.5,1)</f>
        <v>0.125</v>
      </c>
      <c r="C14" s="18" t="n">
        <f aca="false">B14*(1-$B$9)+$B$7*IF(2&lt;=3,0.5,1)</f>
        <v>0.2475</v>
      </c>
      <c r="D14" s="18" t="n">
        <f aca="false">C14*(1-$B$9)+$B$7*IF(3&lt;=3,0.5,1)</f>
        <v>0.36755</v>
      </c>
      <c r="E14" s="18" t="n">
        <f aca="false">D14*(1-$B$9)+$B$7*IF(4&lt;=3,0.5,1)</f>
        <v>0.610199</v>
      </c>
      <c r="F14" s="18" t="n">
        <f aca="false">E14*(1-$B$9)+$B$7*IF(5&lt;=3,0.5,1)</f>
        <v>0.84799502</v>
      </c>
      <c r="G14" s="18" t="n">
        <f aca="false">F14*(1-$B$9)+$B$7*IF(6&lt;=3,0.5,1)</f>
        <v>1.0810351196</v>
      </c>
      <c r="H14" s="18" t="n">
        <f aca="false">G14*(1-$B$9)+$B$7*IF(7&lt;=3,0.5,1)</f>
        <v>1.309414417208</v>
      </c>
      <c r="I14" s="18" t="n">
        <f aca="false">H14*(1-$B$9)+$B$7*IF(8&lt;=3,0.5,1)</f>
        <v>1.53322612886384</v>
      </c>
      <c r="J14" s="18" t="n">
        <f aca="false">I14*(1-$B$9)+$B$7*IF(9&lt;=3,0.5,1)</f>
        <v>1.75256160628656</v>
      </c>
      <c r="K14" s="18" t="n">
        <f aca="false">J14*(1-$B$9)+$B$7*IF(10&lt;=3,0.5,1)</f>
        <v>1.96751037416083</v>
      </c>
      <c r="L14" s="18" t="n">
        <f aca="false">K14*(1-$B$9)+$B$7*IF(11&lt;=3,0.5,1)</f>
        <v>2.17816016667762</v>
      </c>
      <c r="M14" s="18" t="n">
        <f aca="false">L14*(1-$B$9)+$B$7*IF(12&lt;=3,0.5,1)</f>
        <v>2.38459696334406</v>
      </c>
      <c r="N14" s="18" t="n">
        <f aca="false">M14*(1-$B$9)+$B$7*IF(13&lt;=3,0.5,1)</f>
        <v>2.58690502407718</v>
      </c>
      <c r="O14" s="18" t="n">
        <f aca="false">N14*(1-$B$9)+$B$7*IF(14&lt;=3,0.5,1)</f>
        <v>2.78516692359564</v>
      </c>
      <c r="P14" s="18" t="n">
        <f aca="false">O14*(1-$B$9)+$B$7*IF(15&lt;=3,0.5,1)</f>
        <v>2.97946358512372</v>
      </c>
      <c r="Q14" s="18" t="n">
        <f aca="false">P14*(1-$B$9)+$B$7*IF(16&lt;=3,0.5,1)</f>
        <v>3.16987431342125</v>
      </c>
      <c r="R14" s="18" t="n">
        <f aca="false">Q14*(1-$B$9)+$B$7*IF(17&lt;=3,0.5,1)</f>
        <v>3.35647682715282</v>
      </c>
      <c r="S14" s="18" t="n">
        <f aca="false">R14*(1-$B$9)+$B$7*IF(18&lt;=3,0.5,1)</f>
        <v>3.53934729060977</v>
      </c>
      <c r="T14" s="18" t="n">
        <f aca="false">S14*(1-$B$9)+$B$7*IF(19&lt;=3,0.5,1)</f>
        <v>3.71856034479757</v>
      </c>
      <c r="U14" s="18" t="n">
        <f aca="false">T14*(1-$B$9)+$B$7*IF(20&lt;=3,0.5,1)</f>
        <v>3.89418913790162</v>
      </c>
      <c r="V14" s="18" t="n">
        <f aca="false">U14*(1-$B$9)+$B$7*IF(21&lt;=3,0.5,1)</f>
        <v>4.06630535514359</v>
      </c>
      <c r="W14" s="18" t="n">
        <f aca="false">V14*(1-$B$9)+$B$7*IF(22&lt;=3,0.5,1)</f>
        <v>4.23497924804072</v>
      </c>
      <c r="X14" s="18" t="n">
        <f aca="false">W14*(1-$B$9)+$B$7*IF(23&lt;=3,0.5,1)</f>
        <v>4.4002796630799</v>
      </c>
      <c r="Y14" s="18" t="n">
        <f aca="false">X14*(1-$B$9)+$B$7*IF(24&lt;=3,0.5,1)</f>
        <v>4.56227406981831</v>
      </c>
    </row>
    <row r="15" customFormat="false" ht="15" hidden="false" customHeight="false" outlineLevel="0" collapsed="false">
      <c r="A15" s="0" t="s">
        <v>120</v>
      </c>
      <c r="B15" s="18" t="n">
        <f aca="false">$B$8*IF(1&lt;=3,0.5,1)</f>
        <v>0.05</v>
      </c>
      <c r="C15" s="18" t="n">
        <f aca="false">B15*(1-$B$9)+$B$8*IF(2&lt;=3,0.5,1)</f>
        <v>0.099</v>
      </c>
      <c r="D15" s="18" t="n">
        <f aca="false">C15*(1-$B$9)+$B$8*IF(3&lt;=3,0.5,1)</f>
        <v>0.14702</v>
      </c>
      <c r="E15" s="18" t="n">
        <f aca="false">D15*(1-$B$9)+$B$8*IF(4&lt;=3,0.5,1)</f>
        <v>0.2440796</v>
      </c>
      <c r="F15" s="18" t="n">
        <f aca="false">E15*(1-$B$9)+$B$8*IF(5&lt;=3,0.5,1)</f>
        <v>0.339198008</v>
      </c>
      <c r="G15" s="18" t="n">
        <f aca="false">F15*(1-$B$9)+$B$8*IF(6&lt;=3,0.5,1)</f>
        <v>0.43241404784</v>
      </c>
      <c r="H15" s="18" t="n">
        <f aca="false">G15*(1-$B$9)+$B$8*IF(7&lt;=3,0.5,1)</f>
        <v>0.5237657668832</v>
      </c>
      <c r="I15" s="18" t="n">
        <f aca="false">H15*(1-$B$9)+$B$8*IF(8&lt;=3,0.5,1)</f>
        <v>0.613290451545536</v>
      </c>
      <c r="J15" s="18" t="n">
        <f aca="false">I15*(1-$B$9)+$B$8*IF(9&lt;=3,0.5,1)</f>
        <v>0.701024642514625</v>
      </c>
      <c r="K15" s="18" t="n">
        <f aca="false">J15*(1-$B$9)+$B$8*IF(10&lt;=3,0.5,1)</f>
        <v>0.787004149664333</v>
      </c>
      <c r="L15" s="18" t="n">
        <f aca="false">K15*(1-$B$9)+$B$8*IF(11&lt;=3,0.5,1)</f>
        <v>0.871264066671046</v>
      </c>
      <c r="M15" s="18" t="n">
        <f aca="false">L15*(1-$B$9)+$B$8*IF(12&lt;=3,0.5,1)</f>
        <v>0.953838785337625</v>
      </c>
      <c r="N15" s="18" t="n">
        <f aca="false">M15*(1-$B$9)+$B$8*IF(13&lt;=3,0.5,1)</f>
        <v>1.03476200963087</v>
      </c>
      <c r="O15" s="18" t="n">
        <f aca="false">N15*(1-$B$9)+$B$8*IF(14&lt;=3,0.5,1)</f>
        <v>1.11406676943826</v>
      </c>
      <c r="P15" s="18" t="n">
        <f aca="false">O15*(1-$B$9)+$B$8*IF(15&lt;=3,0.5,1)</f>
        <v>1.19178543404949</v>
      </c>
      <c r="Q15" s="18" t="n">
        <f aca="false">P15*(1-$B$9)+$B$8*IF(16&lt;=3,0.5,1)</f>
        <v>1.2679497253685</v>
      </c>
      <c r="R15" s="18" t="n">
        <f aca="false">Q15*(1-$B$9)+$B$8*IF(17&lt;=3,0.5,1)</f>
        <v>1.34259073086113</v>
      </c>
      <c r="S15" s="18" t="n">
        <f aca="false">R15*(1-$B$9)+$B$8*IF(18&lt;=3,0.5,1)</f>
        <v>1.41573891624391</v>
      </c>
      <c r="T15" s="18" t="n">
        <f aca="false">S15*(1-$B$9)+$B$8*IF(19&lt;=3,0.5,1)</f>
        <v>1.48742413791903</v>
      </c>
      <c r="U15" s="18" t="n">
        <f aca="false">T15*(1-$B$9)+$B$8*IF(20&lt;=3,0.5,1)</f>
        <v>1.55767565516065</v>
      </c>
      <c r="V15" s="18" t="n">
        <f aca="false">U15*(1-$B$9)+$B$8*IF(21&lt;=3,0.5,1)</f>
        <v>1.62652214205744</v>
      </c>
      <c r="W15" s="18" t="n">
        <f aca="false">V15*(1-$B$9)+$B$8*IF(22&lt;=3,0.5,1)</f>
        <v>1.69399169921629</v>
      </c>
      <c r="X15" s="18" t="n">
        <f aca="false">W15*(1-$B$9)+$B$8*IF(23&lt;=3,0.5,1)</f>
        <v>1.76011186523196</v>
      </c>
      <c r="Y15" s="18" t="n">
        <f aca="false">X15*(1-$B$9)+$B$8*IF(24&lt;=3,0.5,1)</f>
        <v>1.82490962792732</v>
      </c>
    </row>
    <row r="16" customFormat="false" ht="15" hidden="false" customHeight="false" outlineLevel="0" collapsed="false">
      <c r="A16" s="0" t="s">
        <v>121</v>
      </c>
      <c r="B16" s="17" t="n">
        <f aca="false">B12*Inputs!$B$35+B13*Inputs!$B$36+B14*Inputs!$B$37+B15*Inputs!$B$38</f>
        <v>84.75</v>
      </c>
      <c r="C16" s="17" t="n">
        <f aca="false">C12*Inputs!$B$35+C13*Inputs!$B$36+C14*Inputs!$B$37+C15*Inputs!$B$38</f>
        <v>167.805</v>
      </c>
      <c r="D16" s="17" t="n">
        <f aca="false">D12*Inputs!$B$35+D13*Inputs!$B$36+D14*Inputs!$B$37+D15*Inputs!$B$38</f>
        <v>249.1989</v>
      </c>
      <c r="E16" s="17" t="n">
        <f aca="false">E12*Inputs!$B$35+E13*Inputs!$B$36+E14*Inputs!$B$37+E15*Inputs!$B$38</f>
        <v>413.714922</v>
      </c>
      <c r="F16" s="17" t="n">
        <f aca="false">F12*Inputs!$B$35+F13*Inputs!$B$36+F14*Inputs!$B$37+F15*Inputs!$B$38</f>
        <v>574.94062356</v>
      </c>
      <c r="G16" s="17" t="n">
        <f aca="false">G12*Inputs!$B$35+G13*Inputs!$B$36+G14*Inputs!$B$37+G15*Inputs!$B$38</f>
        <v>732.9418110888</v>
      </c>
      <c r="H16" s="17" t="n">
        <f aca="false">H12*Inputs!$B$35+H13*Inputs!$B$36+H14*Inputs!$B$37+H15*Inputs!$B$38</f>
        <v>887.782974867024</v>
      </c>
      <c r="I16" s="17" t="n">
        <f aca="false">I12*Inputs!$B$35+I13*Inputs!$B$36+I14*Inputs!$B$37+I15*Inputs!$B$38</f>
        <v>1039.52731536968</v>
      </c>
      <c r="J16" s="17" t="n">
        <f aca="false">J12*Inputs!$B$35+J13*Inputs!$B$36+J14*Inputs!$B$37+J15*Inputs!$B$38</f>
        <v>1188.23676906229</v>
      </c>
      <c r="K16" s="17" t="n">
        <f aca="false">K12*Inputs!$B$35+K13*Inputs!$B$36+K14*Inputs!$B$37+K15*Inputs!$B$38</f>
        <v>1333.97203368104</v>
      </c>
      <c r="L16" s="17" t="n">
        <f aca="false">L12*Inputs!$B$35+L13*Inputs!$B$36+L14*Inputs!$B$37+L15*Inputs!$B$38</f>
        <v>1476.79259300742</v>
      </c>
      <c r="M16" s="17" t="n">
        <f aca="false">M12*Inputs!$B$35+M13*Inputs!$B$36+M14*Inputs!$B$37+M15*Inputs!$B$38</f>
        <v>1616.75674114727</v>
      </c>
      <c r="N16" s="17" t="n">
        <f aca="false">N12*Inputs!$B$35+N13*Inputs!$B$36+N14*Inputs!$B$37+N15*Inputs!$B$38</f>
        <v>1753.92160632433</v>
      </c>
      <c r="O16" s="17" t="n">
        <f aca="false">O12*Inputs!$B$35+O13*Inputs!$B$36+O14*Inputs!$B$37+O15*Inputs!$B$38</f>
        <v>1888.34317419784</v>
      </c>
      <c r="P16" s="17" t="n">
        <f aca="false">P12*Inputs!$B$35+P13*Inputs!$B$36+P14*Inputs!$B$37+P15*Inputs!$B$38</f>
        <v>2020.07631071389</v>
      </c>
      <c r="Q16" s="17" t="n">
        <f aca="false">Q12*Inputs!$B$35+Q13*Inputs!$B$36+Q14*Inputs!$B$37+Q15*Inputs!$B$38</f>
        <v>2149.17478449961</v>
      </c>
      <c r="R16" s="17" t="n">
        <f aca="false">R12*Inputs!$B$35+R13*Inputs!$B$36+R14*Inputs!$B$37+R15*Inputs!$B$38</f>
        <v>2275.69128880962</v>
      </c>
      <c r="S16" s="17" t="n">
        <f aca="false">S12*Inputs!$B$35+S13*Inputs!$B$36+S14*Inputs!$B$37+S15*Inputs!$B$38</f>
        <v>2399.67746303342</v>
      </c>
      <c r="T16" s="17" t="n">
        <f aca="false">T12*Inputs!$B$35+T13*Inputs!$B$36+T14*Inputs!$B$37+T15*Inputs!$B$38</f>
        <v>2521.18391377275</v>
      </c>
      <c r="U16" s="17" t="n">
        <f aca="false">U12*Inputs!$B$35+U13*Inputs!$B$36+U14*Inputs!$B$37+U15*Inputs!$B$38</f>
        <v>2640.2602354973</v>
      </c>
      <c r="V16" s="17" t="n">
        <f aca="false">V12*Inputs!$B$35+V13*Inputs!$B$36+V14*Inputs!$B$37+V15*Inputs!$B$38</f>
        <v>2756.95503078735</v>
      </c>
      <c r="W16" s="17" t="n">
        <f aca="false">W12*Inputs!$B$35+W13*Inputs!$B$36+W14*Inputs!$B$37+W15*Inputs!$B$38</f>
        <v>2871.31593017161</v>
      </c>
      <c r="X16" s="17" t="n">
        <f aca="false">X12*Inputs!$B$35+X13*Inputs!$B$36+X14*Inputs!$B$37+X15*Inputs!$B$38</f>
        <v>2983.38961156817</v>
      </c>
      <c r="Y16" s="17" t="n">
        <f aca="false">Y12*Inputs!$B$35+Y13*Inputs!$B$36+Y14*Inputs!$B$37+Y15*Inputs!$B$38</f>
        <v>3093.22181933681</v>
      </c>
    </row>
    <row r="17" customFormat="false" ht="15" hidden="false" customHeight="false" outlineLevel="0" collapsed="false">
      <c r="A17" s="0" t="s">
        <v>122</v>
      </c>
      <c r="B17" s="14" t="n">
        <f aca="false">B12*'Unit economics'!$E$2+B13*'Unit economics'!$E$3+B14*'Unit economics'!$E$4+B15*'Unit economics'!$E$5</f>
        <v>542</v>
      </c>
      <c r="C17" s="14" t="n">
        <f aca="false">C12*'Unit economics'!$E$2+C13*'Unit economics'!$E$3+C14*'Unit economics'!$E$4+C15*'Unit economics'!$E$5</f>
        <v>1073.16</v>
      </c>
      <c r="D17" s="14" t="n">
        <f aca="false">D12*'Unit economics'!$E$2+D13*'Unit economics'!$E$3+D14*'Unit economics'!$E$4+D15*'Unit economics'!$E$5</f>
        <v>1593.6968</v>
      </c>
      <c r="E17" s="14" t="n">
        <f aca="false">E12*'Unit economics'!$E$2+E13*'Unit economics'!$E$3+E14*'Unit economics'!$E$4+E15*'Unit economics'!$E$5</f>
        <v>2645.822864</v>
      </c>
      <c r="F17" s="14" t="n">
        <f aca="false">F12*'Unit economics'!$E$2+F13*'Unit economics'!$E$3+F14*'Unit economics'!$E$4+F15*'Unit economics'!$E$5</f>
        <v>3676.90640672</v>
      </c>
      <c r="G17" s="14" t="n">
        <f aca="false">G12*'Unit economics'!$E$2+G13*'Unit economics'!$E$3+G14*'Unit economics'!$E$4+G15*'Unit economics'!$E$5</f>
        <v>4687.3682785856</v>
      </c>
      <c r="H17" s="14" t="n">
        <f aca="false">H12*'Unit economics'!$E$2+H13*'Unit economics'!$E$3+H14*'Unit economics'!$E$4+H15*'Unit economics'!$E$5</f>
        <v>5677.62091301389</v>
      </c>
      <c r="I17" s="14" t="n">
        <f aca="false">I12*'Unit economics'!$E$2+I13*'Unit economics'!$E$3+I14*'Unit economics'!$E$4+I15*'Unit economics'!$E$5</f>
        <v>6648.06849475361</v>
      </c>
      <c r="J17" s="14" t="n">
        <f aca="false">J12*'Unit economics'!$E$2+J13*'Unit economics'!$E$3+J14*'Unit economics'!$E$4+J15*'Unit economics'!$E$5</f>
        <v>7599.10712485854</v>
      </c>
      <c r="K17" s="14" t="n">
        <f aca="false">K12*'Unit economics'!$E$2+K13*'Unit economics'!$E$3+K14*'Unit economics'!$E$4+K15*'Unit economics'!$E$5</f>
        <v>8531.12498236137</v>
      </c>
      <c r="L17" s="14" t="n">
        <f aca="false">L12*'Unit economics'!$E$2+L13*'Unit economics'!$E$3+L14*'Unit economics'!$E$4+L15*'Unit economics'!$E$5</f>
        <v>9444.50248271414</v>
      </c>
      <c r="M17" s="14" t="n">
        <f aca="false">M12*'Unit economics'!$E$2+M13*'Unit economics'!$E$3+M14*'Unit economics'!$E$4+M15*'Unit economics'!$E$5</f>
        <v>10339.6124330599</v>
      </c>
      <c r="N17" s="14" t="n">
        <f aca="false">N12*'Unit economics'!$E$2+N13*'Unit economics'!$E$3+N14*'Unit economics'!$E$4+N15*'Unit economics'!$E$5</f>
        <v>11216.8201843987</v>
      </c>
      <c r="O17" s="14" t="n">
        <f aca="false">O12*'Unit economics'!$E$2+O13*'Unit economics'!$E$3+O14*'Unit economics'!$E$4+O15*'Unit economics'!$E$5</f>
        <v>12076.4837807107</v>
      </c>
      <c r="P17" s="14" t="n">
        <f aca="false">P12*'Unit economics'!$E$2+P13*'Unit economics'!$E$3+P14*'Unit economics'!$E$4+P15*'Unit economics'!$E$5</f>
        <v>12918.9541050965</v>
      </c>
      <c r="Q17" s="14" t="n">
        <f aca="false">Q12*'Unit economics'!$E$2+Q13*'Unit economics'!$E$3+Q14*'Unit economics'!$E$4+Q15*'Unit economics'!$E$5</f>
        <v>13744.5750229945</v>
      </c>
      <c r="R17" s="14" t="n">
        <f aca="false">R12*'Unit economics'!$E$2+R13*'Unit economics'!$E$3+R14*'Unit economics'!$E$4+R15*'Unit economics'!$E$5</f>
        <v>14553.6835225347</v>
      </c>
      <c r="S17" s="14" t="n">
        <f aca="false">S12*'Unit economics'!$E$2+S13*'Unit economics'!$E$3+S14*'Unit economics'!$E$4+S15*'Unit economics'!$E$5</f>
        <v>15346.609852084</v>
      </c>
      <c r="T17" s="14" t="n">
        <f aca="false">T12*'Unit economics'!$E$2+T13*'Unit economics'!$E$3+T14*'Unit economics'!$E$4+T15*'Unit economics'!$E$5</f>
        <v>16123.6776550423</v>
      </c>
      <c r="U17" s="14" t="n">
        <f aca="false">U12*'Unit economics'!$E$2+U13*'Unit economics'!$E$3+U14*'Unit economics'!$E$4+U15*'Unit economics'!$E$5</f>
        <v>16885.2041019414</v>
      </c>
      <c r="V17" s="14" t="n">
        <f aca="false">V12*'Unit economics'!$E$2+V13*'Unit economics'!$E$3+V14*'Unit economics'!$E$4+V15*'Unit economics'!$E$5</f>
        <v>17631.5000199026</v>
      </c>
      <c r="W17" s="14" t="n">
        <f aca="false">W12*'Unit economics'!$E$2+W13*'Unit economics'!$E$3+W14*'Unit economics'!$E$4+W15*'Unit economics'!$E$5</f>
        <v>18362.8700195046</v>
      </c>
      <c r="X17" s="14" t="n">
        <f aca="false">X12*'Unit economics'!$E$2+X13*'Unit economics'!$E$3+X14*'Unit economics'!$E$4+X15*'Unit economics'!$E$5</f>
        <v>19079.6126191145</v>
      </c>
      <c r="Y17" s="14" t="n">
        <f aca="false">Y12*'Unit economics'!$E$2+Y13*'Unit economics'!$E$3+Y14*'Unit economics'!$E$4+Y15*'Unit economics'!$E$5</f>
        <v>19782.0203667322</v>
      </c>
    </row>
    <row r="18" customFormat="false" ht="15" hidden="false" customHeight="false" outlineLevel="0" collapsed="false">
      <c r="A18" s="0" t="s">
        <v>123</v>
      </c>
      <c r="B18" s="14" t="n">
        <f aca="false">B17/(1+Inputs!$B$20)</f>
        <v>451.666666666667</v>
      </c>
      <c r="C18" s="14" t="n">
        <f aca="false">C17/(1+Inputs!$B$20)</f>
        <v>894.3</v>
      </c>
      <c r="D18" s="14" t="n">
        <f aca="false">D17/(1+Inputs!$B$20)</f>
        <v>1328.08066666667</v>
      </c>
      <c r="E18" s="14" t="n">
        <f aca="false">E17/(1+Inputs!$B$20)</f>
        <v>2204.85238666667</v>
      </c>
      <c r="F18" s="14" t="n">
        <f aca="false">F17/(1+Inputs!$B$20)</f>
        <v>3064.08867226667</v>
      </c>
      <c r="G18" s="14" t="n">
        <f aca="false">G17/(1+Inputs!$B$20)</f>
        <v>3906.14023215467</v>
      </c>
      <c r="H18" s="14" t="n">
        <f aca="false">H17/(1+Inputs!$B$20)</f>
        <v>4731.35076084491</v>
      </c>
      <c r="I18" s="14" t="n">
        <f aca="false">I17/(1+Inputs!$B$20)</f>
        <v>5540.05707896134</v>
      </c>
      <c r="J18" s="14" t="n">
        <f aca="false">J17/(1+Inputs!$B$20)</f>
        <v>6332.58927071545</v>
      </c>
      <c r="K18" s="14" t="n">
        <f aca="false">K17/(1+Inputs!$B$20)</f>
        <v>7109.27081863447</v>
      </c>
      <c r="L18" s="14" t="n">
        <f aca="false">L17/(1+Inputs!$B$20)</f>
        <v>7870.41873559512</v>
      </c>
      <c r="M18" s="14" t="n">
        <f aca="false">M17/(1+Inputs!$B$20)</f>
        <v>8616.34369421655</v>
      </c>
      <c r="N18" s="14" t="n">
        <f aca="false">N17/(1+Inputs!$B$20)</f>
        <v>9347.35015366555</v>
      </c>
      <c r="O18" s="14" t="n">
        <f aca="false">O17/(1+Inputs!$B$20)</f>
        <v>10063.7364839256</v>
      </c>
      <c r="P18" s="14" t="n">
        <f aca="false">P17/(1+Inputs!$B$20)</f>
        <v>10765.7950875804</v>
      </c>
      <c r="Q18" s="14" t="n">
        <f aca="false">Q17/(1+Inputs!$B$20)</f>
        <v>11453.8125191621</v>
      </c>
      <c r="R18" s="14" t="n">
        <f aca="false">R17/(1+Inputs!$B$20)</f>
        <v>12128.0696021122</v>
      </c>
      <c r="S18" s="14" t="n">
        <f aca="false">S17/(1+Inputs!$B$20)</f>
        <v>12788.8415434033</v>
      </c>
      <c r="T18" s="14" t="n">
        <f aca="false">T17/(1+Inputs!$B$20)</f>
        <v>13436.3980458686</v>
      </c>
      <c r="U18" s="14" t="n">
        <f aca="false">U17/(1+Inputs!$B$20)</f>
        <v>14071.0034182845</v>
      </c>
      <c r="V18" s="14" t="n">
        <f aca="false">V17/(1+Inputs!$B$20)</f>
        <v>14692.9166832522</v>
      </c>
      <c r="W18" s="14" t="n">
        <f aca="false">W17/(1+Inputs!$B$20)</f>
        <v>15302.3916829205</v>
      </c>
      <c r="X18" s="14" t="n">
        <f aca="false">X17/(1+Inputs!$B$20)</f>
        <v>15899.6771825954</v>
      </c>
      <c r="Y18" s="14" t="n">
        <f aca="false">Y17/(1+Inputs!$B$20)</f>
        <v>16485.0169722768</v>
      </c>
    </row>
    <row r="19" customFormat="false" ht="15" hidden="false" customHeight="false" outlineLevel="0" collapsed="false">
      <c r="A19" s="0" t="s">
        <v>124</v>
      </c>
      <c r="B19" s="14" t="n">
        <f aca="false">B12*('Unit economics'!$H$2+'Unit economics'!$I$2)+B13*('Unit economics'!$H$3+'Unit economics'!$I$3)+B14*('Unit economics'!$H$4+'Unit economics'!$I$4)+B15*('Unit economics'!$H$5+'Unit economics'!$I$5)</f>
        <v>84.345</v>
      </c>
      <c r="C19" s="14" t="n">
        <f aca="false">C12*('Unit economics'!$H$2+'Unit economics'!$I$2)+C13*('Unit economics'!$H$3+'Unit economics'!$I$3)+C14*('Unit economics'!$H$4+'Unit economics'!$I$4)+C15*('Unit economics'!$H$5+'Unit economics'!$I$5)</f>
        <v>167.0031</v>
      </c>
      <c r="D19" s="14" t="n">
        <f aca="false">D12*('Unit economics'!$H$2+'Unit economics'!$I$2)+D13*('Unit economics'!$H$3+'Unit economics'!$I$3)+D14*('Unit economics'!$H$4+'Unit economics'!$I$4)+D15*('Unit economics'!$H$5+'Unit economics'!$I$5)</f>
        <v>248.008038</v>
      </c>
      <c r="E19" s="14" t="n">
        <f aca="false">E12*('Unit economics'!$H$2+'Unit economics'!$I$2)+E13*('Unit economics'!$H$3+'Unit economics'!$I$3)+E14*('Unit economics'!$H$4+'Unit economics'!$I$4)+E15*('Unit economics'!$H$5+'Unit economics'!$I$5)</f>
        <v>411.73787724</v>
      </c>
      <c r="F19" s="14" t="n">
        <f aca="false">F12*('Unit economics'!$H$2+'Unit economics'!$I$2)+F13*('Unit economics'!$H$3+'Unit economics'!$I$3)+F14*('Unit economics'!$H$4+'Unit economics'!$I$4)+F15*('Unit economics'!$H$5+'Unit economics'!$I$5)</f>
        <v>572.1931196952</v>
      </c>
      <c r="G19" s="14" t="n">
        <f aca="false">G12*('Unit economics'!$H$2+'Unit economics'!$I$2)+G13*('Unit economics'!$H$3+'Unit economics'!$I$3)+G14*('Unit economics'!$H$4+'Unit economics'!$I$4)+G15*('Unit economics'!$H$5+'Unit economics'!$I$5)</f>
        <v>729.439257301296</v>
      </c>
      <c r="H19" s="14" t="n">
        <f aca="false">H12*('Unit economics'!$H$2+'Unit economics'!$I$2)+H13*('Unit economics'!$H$3+'Unit economics'!$I$3)+H14*('Unit economics'!$H$4+'Unit economics'!$I$4)+H15*('Unit economics'!$H$5+'Unit economics'!$I$5)</f>
        <v>883.54047215527</v>
      </c>
      <c r="I19" s="14" t="n">
        <f aca="false">I12*('Unit economics'!$H$2+'Unit economics'!$I$2)+I13*('Unit economics'!$H$3+'Unit economics'!$I$3)+I14*('Unit economics'!$H$4+'Unit economics'!$I$4)+I15*('Unit economics'!$H$5+'Unit economics'!$I$5)</f>
        <v>1034.55966271216</v>
      </c>
      <c r="J19" s="14" t="n">
        <f aca="false">J12*('Unit economics'!$H$2+'Unit economics'!$I$2)+J13*('Unit economics'!$H$3+'Unit economics'!$I$3)+J14*('Unit economics'!$H$4+'Unit economics'!$I$4)+J15*('Unit economics'!$H$5+'Unit economics'!$I$5)</f>
        <v>1182.55846945792</v>
      </c>
      <c r="K19" s="14" t="n">
        <f aca="false">K12*('Unit economics'!$H$2+'Unit economics'!$I$2)+K13*('Unit economics'!$H$3+'Unit economics'!$I$3)+K14*('Unit economics'!$H$4+'Unit economics'!$I$4)+K15*('Unit economics'!$H$5+'Unit economics'!$I$5)</f>
        <v>1327.59730006876</v>
      </c>
      <c r="L19" s="14" t="n">
        <f aca="false">L12*('Unit economics'!$H$2+'Unit economics'!$I$2)+L13*('Unit economics'!$H$3+'Unit economics'!$I$3)+L14*('Unit economics'!$H$4+'Unit economics'!$I$4)+L15*('Unit economics'!$H$5+'Unit economics'!$I$5)</f>
        <v>1469.73535406739</v>
      </c>
      <c r="M19" s="14" t="n">
        <f aca="false">M12*('Unit economics'!$H$2+'Unit economics'!$I$2)+M13*('Unit economics'!$H$3+'Unit economics'!$I$3)+M14*('Unit economics'!$H$4+'Unit economics'!$I$4)+M15*('Unit economics'!$H$5+'Unit economics'!$I$5)</f>
        <v>1609.03064698604</v>
      </c>
      <c r="N19" s="14" t="n">
        <f aca="false">N12*('Unit economics'!$H$2+'Unit economics'!$I$2)+N13*('Unit economics'!$H$3+'Unit economics'!$I$3)+N14*('Unit economics'!$H$4+'Unit economics'!$I$4)+N15*('Unit economics'!$H$5+'Unit economics'!$I$5)</f>
        <v>1745.54003404632</v>
      </c>
      <c r="O19" s="14" t="n">
        <f aca="false">O12*('Unit economics'!$H$2+'Unit economics'!$I$2)+O13*('Unit economics'!$H$3+'Unit economics'!$I$3)+O14*('Unit economics'!$H$4+'Unit economics'!$I$4)+O15*('Unit economics'!$H$5+'Unit economics'!$I$5)</f>
        <v>1879.31923336539</v>
      </c>
      <c r="P19" s="14" t="n">
        <f aca="false">P12*('Unit economics'!$H$2+'Unit economics'!$I$2)+P13*('Unit economics'!$H$3+'Unit economics'!$I$3)+P14*('Unit economics'!$H$4+'Unit economics'!$I$4)+P15*('Unit economics'!$H$5+'Unit economics'!$I$5)</f>
        <v>2010.42284869808</v>
      </c>
      <c r="Q19" s="14" t="n">
        <f aca="false">Q12*('Unit economics'!$H$2+'Unit economics'!$I$2)+Q13*('Unit economics'!$H$3+'Unit economics'!$I$3)+Q14*('Unit economics'!$H$4+'Unit economics'!$I$4)+Q15*('Unit economics'!$H$5+'Unit economics'!$I$5)</f>
        <v>2138.90439172412</v>
      </c>
      <c r="R19" s="14" t="n">
        <f aca="false">R12*('Unit economics'!$H$2+'Unit economics'!$I$2)+R13*('Unit economics'!$H$3+'Unit economics'!$I$3)+R14*('Unit economics'!$H$4+'Unit economics'!$I$4)+R15*('Unit economics'!$H$5+'Unit economics'!$I$5)</f>
        <v>2264.81630388964</v>
      </c>
      <c r="S19" s="14" t="n">
        <f aca="false">S12*('Unit economics'!$H$2+'Unit economics'!$I$2)+S13*('Unit economics'!$H$3+'Unit economics'!$I$3)+S14*('Unit economics'!$H$4+'Unit economics'!$I$4)+S15*('Unit economics'!$H$5+'Unit economics'!$I$5)</f>
        <v>2388.20997781185</v>
      </c>
      <c r="T19" s="14" t="n">
        <f aca="false">T12*('Unit economics'!$H$2+'Unit economics'!$I$2)+T13*('Unit economics'!$H$3+'Unit economics'!$I$3)+T14*('Unit economics'!$H$4+'Unit economics'!$I$4)+T15*('Unit economics'!$H$5+'Unit economics'!$I$5)</f>
        <v>2509.13577825561</v>
      </c>
      <c r="U19" s="14" t="n">
        <f aca="false">U12*('Unit economics'!$H$2+'Unit economics'!$I$2)+U13*('Unit economics'!$H$3+'Unit economics'!$I$3)+U14*('Unit economics'!$H$4+'Unit economics'!$I$4)+U15*('Unit economics'!$H$5+'Unit economics'!$I$5)</f>
        <v>2627.6430626905</v>
      </c>
      <c r="V19" s="14" t="n">
        <f aca="false">V12*('Unit economics'!$H$2+'Unit economics'!$I$2)+V13*('Unit economics'!$H$3+'Unit economics'!$I$3)+V14*('Unit economics'!$H$4+'Unit economics'!$I$4)+V15*('Unit economics'!$H$5+'Unit economics'!$I$5)</f>
        <v>2743.78020143669</v>
      </c>
      <c r="W19" s="14" t="n">
        <f aca="false">W12*('Unit economics'!$H$2+'Unit economics'!$I$2)+W13*('Unit economics'!$H$3+'Unit economics'!$I$3)+W14*('Unit economics'!$H$4+'Unit economics'!$I$4)+W15*('Unit economics'!$H$5+'Unit economics'!$I$5)</f>
        <v>2857.59459740796</v>
      </c>
      <c r="X19" s="14" t="n">
        <f aca="false">X12*('Unit economics'!$H$2+'Unit economics'!$I$2)+X13*('Unit economics'!$H$3+'Unit economics'!$I$3)+X14*('Unit economics'!$H$4+'Unit economics'!$I$4)+X15*('Unit economics'!$H$5+'Unit economics'!$I$5)</f>
        <v>2969.1327054598</v>
      </c>
      <c r="Y19" s="14" t="n">
        <f aca="false">Y12*('Unit economics'!$H$2+'Unit economics'!$I$2)+Y13*('Unit economics'!$H$3+'Unit economics'!$I$3)+Y14*('Unit economics'!$H$4+'Unit economics'!$I$4)+Y15*('Unit economics'!$H$5+'Unit economics'!$I$5)</f>
        <v>3078.4400513506</v>
      </c>
    </row>
    <row r="20" customFormat="false" ht="15" hidden="false" customHeight="false" outlineLevel="0" collapsed="false">
      <c r="A20" s="0" t="s">
        <v>125</v>
      </c>
      <c r="B20" s="14" t="n">
        <f aca="false">Inputs!$B$10+Inputs!$B$46</f>
        <v>3780</v>
      </c>
      <c r="C20" s="14" t="n">
        <f aca="false">Inputs!$B$10+Inputs!$B$46</f>
        <v>3780</v>
      </c>
      <c r="D20" s="14" t="n">
        <f aca="false">Inputs!$B$10+Inputs!$B$46</f>
        <v>3780</v>
      </c>
      <c r="E20" s="14" t="n">
        <f aca="false">Inputs!$B$10+Inputs!$B$46</f>
        <v>3780</v>
      </c>
      <c r="F20" s="14" t="n">
        <f aca="false">Inputs!$B$10+Inputs!$B$46</f>
        <v>3780</v>
      </c>
      <c r="G20" s="14" t="n">
        <f aca="false">Inputs!$B$10+Inputs!$B$46</f>
        <v>3780</v>
      </c>
      <c r="H20" s="14" t="n">
        <f aca="false">Inputs!$B$10+Inputs!$B$46</f>
        <v>3780</v>
      </c>
      <c r="I20" s="14" t="n">
        <f aca="false">Inputs!$B$10+Inputs!$B$46</f>
        <v>3780</v>
      </c>
      <c r="J20" s="14" t="n">
        <f aca="false">Inputs!$B$10+Inputs!$B$46</f>
        <v>3780</v>
      </c>
      <c r="K20" s="14" t="n">
        <f aca="false">Inputs!$B$10+Inputs!$B$46</f>
        <v>3780</v>
      </c>
      <c r="L20" s="14" t="n">
        <f aca="false">Inputs!$B$10+Inputs!$B$46</f>
        <v>3780</v>
      </c>
      <c r="M20" s="14" t="n">
        <f aca="false">Inputs!$B$10+Inputs!$B$46</f>
        <v>3780</v>
      </c>
      <c r="N20" s="14" t="n">
        <f aca="false">Inputs!$B$10+Inputs!$B$46</f>
        <v>3780</v>
      </c>
      <c r="O20" s="14" t="n">
        <f aca="false">Inputs!$B$10+Inputs!$B$46</f>
        <v>3780</v>
      </c>
      <c r="P20" s="14" t="n">
        <f aca="false">Inputs!$B$10+Inputs!$B$46</f>
        <v>3780</v>
      </c>
      <c r="Q20" s="14" t="n">
        <f aca="false">Inputs!$B$10+Inputs!$B$46</f>
        <v>3780</v>
      </c>
      <c r="R20" s="14" t="n">
        <f aca="false">Inputs!$B$10+Inputs!$B$46</f>
        <v>3780</v>
      </c>
      <c r="S20" s="14" t="n">
        <f aca="false">Inputs!$B$10+Inputs!$B$46</f>
        <v>3780</v>
      </c>
      <c r="T20" s="14" t="n">
        <f aca="false">Inputs!$B$10+Inputs!$B$46</f>
        <v>3780</v>
      </c>
      <c r="U20" s="14" t="n">
        <f aca="false">Inputs!$B$10+Inputs!$B$46</f>
        <v>3780</v>
      </c>
      <c r="V20" s="14" t="n">
        <f aca="false">Inputs!$B$10+Inputs!$B$46</f>
        <v>3780</v>
      </c>
      <c r="W20" s="14" t="n">
        <f aca="false">Inputs!$B$10+Inputs!$B$46</f>
        <v>3780</v>
      </c>
      <c r="X20" s="14" t="n">
        <f aca="false">Inputs!$B$10+Inputs!$B$46</f>
        <v>3780</v>
      </c>
      <c r="Y20" s="14" t="n">
        <f aca="false">Inputs!$B$10+Inputs!$B$46</f>
        <v>3780</v>
      </c>
    </row>
    <row r="21" customFormat="false" ht="15" hidden="false" customHeight="false" outlineLevel="0" collapsed="false">
      <c r="A21" s="0" t="s">
        <v>126</v>
      </c>
      <c r="B21" s="14" t="n">
        <f aca="false">IF(1&gt;=Inputs!$B$54,Inputs!$B$52*Inputs!$B$53*(1+Inputs!$B$47),0)</f>
        <v>0</v>
      </c>
      <c r="C21" s="14" t="n">
        <f aca="false">IF(2&gt;=Inputs!$B$54,Inputs!$B$52*Inputs!$B$53*(1+Inputs!$B$47),0)</f>
        <v>0</v>
      </c>
      <c r="D21" s="14" t="n">
        <f aca="false">IF(3&gt;=Inputs!$B$54,Inputs!$B$52*Inputs!$B$53*(1+Inputs!$B$47),0)</f>
        <v>0</v>
      </c>
      <c r="E21" s="14" t="n">
        <f aca="false">IF(4&gt;=Inputs!$B$54,Inputs!$B$52*Inputs!$B$53*(1+Inputs!$B$47),0)</f>
        <v>0</v>
      </c>
      <c r="F21" s="14" t="n">
        <f aca="false">IF(5&gt;=Inputs!$B$54,Inputs!$B$52*Inputs!$B$53*(1+Inputs!$B$47),0)</f>
        <v>0</v>
      </c>
      <c r="G21" s="14" t="n">
        <f aca="false">IF(6&gt;=Inputs!$B$54,Inputs!$B$52*Inputs!$B$53*(1+Inputs!$B$47),0)</f>
        <v>0</v>
      </c>
      <c r="H21" s="14" t="n">
        <f aca="false">IF(7&gt;=Inputs!$B$54,Inputs!$B$52*Inputs!$B$53*(1+Inputs!$B$47),0)</f>
        <v>0</v>
      </c>
      <c r="I21" s="14" t="n">
        <f aca="false">IF(8&gt;=Inputs!$B$54,Inputs!$B$52*Inputs!$B$53*(1+Inputs!$B$47),0)</f>
        <v>0</v>
      </c>
      <c r="J21" s="14" t="n">
        <f aca="false">IF(9&gt;=Inputs!$B$54,Inputs!$B$52*Inputs!$B$53*(1+Inputs!$B$47),0)</f>
        <v>0</v>
      </c>
      <c r="K21" s="14" t="n">
        <f aca="false">IF(10&gt;=Inputs!$B$54,Inputs!$B$52*Inputs!$B$53*(1+Inputs!$B$47),0)</f>
        <v>0</v>
      </c>
      <c r="L21" s="14" t="n">
        <f aca="false">IF(11&gt;=Inputs!$B$54,Inputs!$B$52*Inputs!$B$53*(1+Inputs!$B$47),0)</f>
        <v>0</v>
      </c>
      <c r="M21" s="14" t="n">
        <f aca="false">IF(12&gt;=Inputs!$B$54,Inputs!$B$52*Inputs!$B$53*(1+Inputs!$B$47),0)</f>
        <v>0</v>
      </c>
      <c r="N21" s="14" t="n">
        <f aca="false">IF(13&gt;=Inputs!$B$54,Inputs!$B$52*Inputs!$B$53*(1+Inputs!$B$47),0)</f>
        <v>21796.2</v>
      </c>
      <c r="O21" s="14" t="n">
        <f aca="false">IF(14&gt;=Inputs!$B$54,Inputs!$B$52*Inputs!$B$53*(1+Inputs!$B$47),0)</f>
        <v>21796.2</v>
      </c>
      <c r="P21" s="14" t="n">
        <f aca="false">IF(15&gt;=Inputs!$B$54,Inputs!$B$52*Inputs!$B$53*(1+Inputs!$B$47),0)</f>
        <v>21796.2</v>
      </c>
      <c r="Q21" s="14" t="n">
        <f aca="false">IF(16&gt;=Inputs!$B$54,Inputs!$B$52*Inputs!$B$53*(1+Inputs!$B$47),0)</f>
        <v>21796.2</v>
      </c>
      <c r="R21" s="14" t="n">
        <f aca="false">IF(17&gt;=Inputs!$B$54,Inputs!$B$52*Inputs!$B$53*(1+Inputs!$B$47),0)</f>
        <v>21796.2</v>
      </c>
      <c r="S21" s="14" t="n">
        <f aca="false">IF(18&gt;=Inputs!$B$54,Inputs!$B$52*Inputs!$B$53*(1+Inputs!$B$47),0)</f>
        <v>21796.2</v>
      </c>
      <c r="T21" s="14" t="n">
        <f aca="false">IF(19&gt;=Inputs!$B$54,Inputs!$B$52*Inputs!$B$53*(1+Inputs!$B$47),0)</f>
        <v>21796.2</v>
      </c>
      <c r="U21" s="14" t="n">
        <f aca="false">IF(20&gt;=Inputs!$B$54,Inputs!$B$52*Inputs!$B$53*(1+Inputs!$B$47),0)</f>
        <v>21796.2</v>
      </c>
      <c r="V21" s="14" t="n">
        <f aca="false">IF(21&gt;=Inputs!$B$54,Inputs!$B$52*Inputs!$B$53*(1+Inputs!$B$47),0)</f>
        <v>21796.2</v>
      </c>
      <c r="W21" s="14" t="n">
        <f aca="false">IF(22&gt;=Inputs!$B$54,Inputs!$B$52*Inputs!$B$53*(1+Inputs!$B$47),0)</f>
        <v>21796.2</v>
      </c>
      <c r="X21" s="14" t="n">
        <f aca="false">IF(23&gt;=Inputs!$B$54,Inputs!$B$52*Inputs!$B$53*(1+Inputs!$B$47),0)</f>
        <v>21796.2</v>
      </c>
      <c r="Y21" s="14" t="n">
        <f aca="false">IF(24&gt;=Inputs!$B$54,Inputs!$B$52*Inputs!$B$53*(1+Inputs!$B$47),0)</f>
        <v>21796.2</v>
      </c>
    </row>
    <row r="22" customFormat="false" ht="15" hidden="false" customHeight="false" outlineLevel="0" collapsed="false">
      <c r="A22" s="0" t="s">
        <v>127</v>
      </c>
      <c r="B22" s="14" t="n">
        <f aca="false">IF(1&gt;=Inputs!$B$56,Inputs!$B$55*(1+Inputs!$B$47),0)+IF(1&gt;=Inputs!$B$58,Inputs!$B$57*(1+Inputs!$B$47),0)</f>
        <v>0</v>
      </c>
      <c r="C22" s="14" t="n">
        <f aca="false">IF(2&gt;=Inputs!$B$56,Inputs!$B$55*(1+Inputs!$B$47),0)+IF(2&gt;=Inputs!$B$58,Inputs!$B$57*(1+Inputs!$B$47),0)</f>
        <v>0</v>
      </c>
      <c r="D22" s="14" t="n">
        <f aca="false">IF(3&gt;=Inputs!$B$56,Inputs!$B$55*(1+Inputs!$B$47),0)+IF(3&gt;=Inputs!$B$58,Inputs!$B$57*(1+Inputs!$B$47),0)</f>
        <v>0</v>
      </c>
      <c r="E22" s="14" t="n">
        <f aca="false">IF(4&gt;=Inputs!$B$56,Inputs!$B$55*(1+Inputs!$B$47),0)+IF(4&gt;=Inputs!$B$58,Inputs!$B$57*(1+Inputs!$B$47),0)</f>
        <v>0</v>
      </c>
      <c r="F22" s="14" t="n">
        <f aca="false">IF(5&gt;=Inputs!$B$56,Inputs!$B$55*(1+Inputs!$B$47),0)+IF(5&gt;=Inputs!$B$58,Inputs!$B$57*(1+Inputs!$B$47),0)</f>
        <v>0</v>
      </c>
      <c r="G22" s="14" t="n">
        <f aca="false">IF(6&gt;=Inputs!$B$56,Inputs!$B$55*(1+Inputs!$B$47),0)+IF(6&gt;=Inputs!$B$58,Inputs!$B$57*(1+Inputs!$B$47),0)</f>
        <v>0</v>
      </c>
      <c r="H22" s="14" t="n">
        <f aca="false">IF(7&gt;=Inputs!$B$56,Inputs!$B$55*(1+Inputs!$B$47),0)+IF(7&gt;=Inputs!$B$58,Inputs!$B$57*(1+Inputs!$B$47),0)</f>
        <v>0</v>
      </c>
      <c r="I22" s="14" t="n">
        <f aca="false">IF(8&gt;=Inputs!$B$56,Inputs!$B$55*(1+Inputs!$B$47),0)+IF(8&gt;=Inputs!$B$58,Inputs!$B$57*(1+Inputs!$B$47),0)</f>
        <v>0</v>
      </c>
      <c r="J22" s="14" t="n">
        <f aca="false">IF(9&gt;=Inputs!$B$56,Inputs!$B$55*(1+Inputs!$B$47),0)+IF(9&gt;=Inputs!$B$58,Inputs!$B$57*(1+Inputs!$B$47),0)</f>
        <v>0</v>
      </c>
      <c r="K22" s="14" t="n">
        <f aca="false">IF(10&gt;=Inputs!$B$56,Inputs!$B$55*(1+Inputs!$B$47),0)+IF(10&gt;=Inputs!$B$58,Inputs!$B$57*(1+Inputs!$B$47),0)</f>
        <v>0</v>
      </c>
      <c r="L22" s="14" t="n">
        <f aca="false">IF(11&gt;=Inputs!$B$56,Inputs!$B$55*(1+Inputs!$B$47),0)+IF(11&gt;=Inputs!$B$58,Inputs!$B$57*(1+Inputs!$B$47),0)</f>
        <v>0</v>
      </c>
      <c r="M22" s="14" t="n">
        <f aca="false">IF(12&gt;=Inputs!$B$56,Inputs!$B$55*(1+Inputs!$B$47),0)+IF(12&gt;=Inputs!$B$58,Inputs!$B$57*(1+Inputs!$B$47),0)</f>
        <v>0</v>
      </c>
      <c r="N22" s="14" t="n">
        <f aca="false">IF(13&gt;=Inputs!$B$56,Inputs!$B$55*(1+Inputs!$B$47),0)+IF(13&gt;=Inputs!$B$58,Inputs!$B$57*(1+Inputs!$B$47),0)</f>
        <v>0</v>
      </c>
      <c r="O22" s="14" t="n">
        <f aca="false">IF(14&gt;=Inputs!$B$56,Inputs!$B$55*(1+Inputs!$B$47),0)+IF(14&gt;=Inputs!$B$58,Inputs!$B$57*(1+Inputs!$B$47),0)</f>
        <v>0</v>
      </c>
      <c r="P22" s="14" t="n">
        <f aca="false">IF(15&gt;=Inputs!$B$56,Inputs!$B$55*(1+Inputs!$B$47),0)+IF(15&gt;=Inputs!$B$58,Inputs!$B$57*(1+Inputs!$B$47),0)</f>
        <v>0</v>
      </c>
      <c r="Q22" s="14" t="n">
        <f aca="false">IF(16&gt;=Inputs!$B$56,Inputs!$B$55*(1+Inputs!$B$47),0)+IF(16&gt;=Inputs!$B$58,Inputs!$B$57*(1+Inputs!$B$47),0)</f>
        <v>0</v>
      </c>
      <c r="R22" s="14" t="n">
        <f aca="false">IF(17&gt;=Inputs!$B$56,Inputs!$B$55*(1+Inputs!$B$47),0)+IF(17&gt;=Inputs!$B$58,Inputs!$B$57*(1+Inputs!$B$47),0)</f>
        <v>0</v>
      </c>
      <c r="S22" s="14" t="n">
        <f aca="false">IF(18&gt;=Inputs!$B$56,Inputs!$B$55*(1+Inputs!$B$47),0)+IF(18&gt;=Inputs!$B$58,Inputs!$B$57*(1+Inputs!$B$47),0)</f>
        <v>0</v>
      </c>
      <c r="T22" s="14" t="n">
        <f aca="false">IF(19&gt;=Inputs!$B$56,Inputs!$B$55*(1+Inputs!$B$47),0)+IF(19&gt;=Inputs!$B$58,Inputs!$B$57*(1+Inputs!$B$47),0)</f>
        <v>7265.4</v>
      </c>
      <c r="U22" s="14" t="n">
        <f aca="false">IF(20&gt;=Inputs!$B$56,Inputs!$B$55*(1+Inputs!$B$47),0)+IF(20&gt;=Inputs!$B$58,Inputs!$B$57*(1+Inputs!$B$47),0)</f>
        <v>7265.4</v>
      </c>
      <c r="V22" s="14" t="n">
        <f aca="false">IF(21&gt;=Inputs!$B$56,Inputs!$B$55*(1+Inputs!$B$47),0)+IF(21&gt;=Inputs!$B$58,Inputs!$B$57*(1+Inputs!$B$47),0)</f>
        <v>7265.4</v>
      </c>
      <c r="W22" s="14" t="n">
        <f aca="false">IF(22&gt;=Inputs!$B$56,Inputs!$B$55*(1+Inputs!$B$47),0)+IF(22&gt;=Inputs!$B$58,Inputs!$B$57*(1+Inputs!$B$47),0)</f>
        <v>7265.4</v>
      </c>
      <c r="X22" s="14" t="n">
        <f aca="false">IF(23&gt;=Inputs!$B$56,Inputs!$B$55*(1+Inputs!$B$47),0)+IF(23&gt;=Inputs!$B$58,Inputs!$B$57*(1+Inputs!$B$47),0)</f>
        <v>7265.4</v>
      </c>
      <c r="Y22" s="14" t="n">
        <f aca="false">IF(24&gt;=Inputs!$B$56,Inputs!$B$55*(1+Inputs!$B$47),0)+IF(24&gt;=Inputs!$B$58,Inputs!$B$57*(1+Inputs!$B$47),0)</f>
        <v>7265.4</v>
      </c>
    </row>
    <row r="23" customFormat="false" ht="15" hidden="false" customHeight="false" outlineLevel="0" collapsed="false">
      <c r="A23" s="0" t="s">
        <v>128</v>
      </c>
      <c r="B23" s="14" t="n">
        <f aca="false">IF(1&gt;=Inputs!$B$60,Inputs!$B$59,0)</f>
        <v>0</v>
      </c>
      <c r="C23" s="14" t="n">
        <f aca="false">IF(2&gt;=Inputs!$B$60,Inputs!$B$59,0)</f>
        <v>0</v>
      </c>
      <c r="D23" s="14" t="n">
        <f aca="false">IF(3&gt;=Inputs!$B$60,Inputs!$B$59,0)</f>
        <v>0</v>
      </c>
      <c r="E23" s="14" t="n">
        <f aca="false">IF(4&gt;=Inputs!$B$60,Inputs!$B$59,0)</f>
        <v>0</v>
      </c>
      <c r="F23" s="14" t="n">
        <f aca="false">IF(5&gt;=Inputs!$B$60,Inputs!$B$59,0)</f>
        <v>0</v>
      </c>
      <c r="G23" s="14" t="n">
        <f aca="false">IF(6&gt;=Inputs!$B$60,Inputs!$B$59,0)</f>
        <v>0</v>
      </c>
      <c r="H23" s="14" t="n">
        <f aca="false">IF(7&gt;=Inputs!$B$60,Inputs!$B$59,0)</f>
        <v>0</v>
      </c>
      <c r="I23" s="14" t="n">
        <f aca="false">IF(8&gt;=Inputs!$B$60,Inputs!$B$59,0)</f>
        <v>0</v>
      </c>
      <c r="J23" s="14" t="n">
        <f aca="false">IF(9&gt;=Inputs!$B$60,Inputs!$B$59,0)</f>
        <v>0</v>
      </c>
      <c r="K23" s="14" t="n">
        <f aca="false">IF(10&gt;=Inputs!$B$60,Inputs!$B$59,0)</f>
        <v>0</v>
      </c>
      <c r="L23" s="14" t="n">
        <f aca="false">IF(11&gt;=Inputs!$B$60,Inputs!$B$59,0)</f>
        <v>0</v>
      </c>
      <c r="M23" s="14" t="n">
        <f aca="false">IF(12&gt;=Inputs!$B$60,Inputs!$B$59,0)</f>
        <v>0</v>
      </c>
      <c r="N23" s="14" t="n">
        <f aca="false">IF(13&gt;=Inputs!$B$60,Inputs!$B$59,0)</f>
        <v>0</v>
      </c>
      <c r="O23" s="14" t="n">
        <f aca="false">IF(14&gt;=Inputs!$B$60,Inputs!$B$59,0)</f>
        <v>0</v>
      </c>
      <c r="P23" s="14" t="n">
        <f aca="false">IF(15&gt;=Inputs!$B$60,Inputs!$B$59,0)</f>
        <v>0</v>
      </c>
      <c r="Q23" s="14" t="n">
        <f aca="false">IF(16&gt;=Inputs!$B$60,Inputs!$B$59,0)</f>
        <v>0</v>
      </c>
      <c r="R23" s="14" t="n">
        <f aca="false">IF(17&gt;=Inputs!$B$60,Inputs!$B$59,0)</f>
        <v>0</v>
      </c>
      <c r="S23" s="14" t="n">
        <f aca="false">IF(18&gt;=Inputs!$B$60,Inputs!$B$59,0)</f>
        <v>0</v>
      </c>
      <c r="T23" s="14" t="n">
        <f aca="false">IF(19&gt;=Inputs!$B$60,Inputs!$B$59,0)</f>
        <v>0</v>
      </c>
      <c r="U23" s="14" t="n">
        <f aca="false">IF(20&gt;=Inputs!$B$60,Inputs!$B$59,0)</f>
        <v>0</v>
      </c>
      <c r="V23" s="14" t="n">
        <f aca="false">IF(21&gt;=Inputs!$B$60,Inputs!$B$59,0)</f>
        <v>0</v>
      </c>
      <c r="W23" s="14" t="n">
        <f aca="false">IF(22&gt;=Inputs!$B$60,Inputs!$B$59,0)</f>
        <v>0</v>
      </c>
      <c r="X23" s="14" t="n">
        <f aca="false">IF(23&gt;=Inputs!$B$60,Inputs!$B$59,0)</f>
        <v>0</v>
      </c>
      <c r="Y23" s="14" t="n">
        <f aca="false">IF(24&gt;=Inputs!$B$60,Inputs!$B$59,0)</f>
        <v>0</v>
      </c>
    </row>
    <row r="24" customFormat="false" ht="15" hidden="false" customHeight="false" outlineLevel="0" collapsed="false">
      <c r="A24" s="3" t="s">
        <v>129</v>
      </c>
      <c r="B24" s="14" t="n">
        <f aca="false">B18-B19-B20-B21-B22-B23</f>
        <v>-3412.67833333333</v>
      </c>
      <c r="C24" s="14" t="n">
        <f aca="false">C18-C19-C20-C21-C22-C23</f>
        <v>-3052.7031</v>
      </c>
      <c r="D24" s="14" t="n">
        <f aca="false">D18-D19-D20-D21-D22-D23</f>
        <v>-2699.92737133333</v>
      </c>
      <c r="E24" s="14" t="n">
        <f aca="false">E18-E19-E20-E21-E22-E23</f>
        <v>-1986.88549057333</v>
      </c>
      <c r="F24" s="14" t="n">
        <f aca="false">F18-F19-F20-F21-F22-F23</f>
        <v>-1288.10444742853</v>
      </c>
      <c r="G24" s="14" t="n">
        <f aca="false">G18-G19-G20-G21-G22-G23</f>
        <v>-603.299025146629</v>
      </c>
      <c r="H24" s="14" t="n">
        <f aca="false">H18-H19-H20-H21-H22-H23</f>
        <v>67.8102886896363</v>
      </c>
      <c r="I24" s="14" t="n">
        <f aca="false">I18-I19-I20-I21-I22-I23</f>
        <v>725.497416249176</v>
      </c>
      <c r="J24" s="14" t="n">
        <f aca="false">J18-J19-J20-J21-J22-J23</f>
        <v>1370.03080125753</v>
      </c>
      <c r="K24" s="14" t="n">
        <f aca="false">K18-K19-K20-K21-K22-K23</f>
        <v>2001.67351856571</v>
      </c>
      <c r="L24" s="14" t="n">
        <f aca="false">L18-L19-L20-L21-L22-L23</f>
        <v>2620.68338152773</v>
      </c>
      <c r="M24" s="14" t="n">
        <f aca="false">M18-M19-M20-M21-M22-M23</f>
        <v>3227.31304723051</v>
      </c>
      <c r="N24" s="14" t="n">
        <f aca="false">N18-N19-N20-N21-N22-N23</f>
        <v>-17974.3898803808</v>
      </c>
      <c r="O24" s="14" t="n">
        <f aca="false">O18-O19-O20-O21-O22-O23</f>
        <v>-17391.7827494398</v>
      </c>
      <c r="P24" s="14" t="n">
        <f aca="false">P18-P19-P20-P21-P22-P23</f>
        <v>-16820.8277611177</v>
      </c>
      <c r="Q24" s="14" t="n">
        <f aca="false">Q18-Q19-Q20-Q21-Q22-Q23</f>
        <v>-16261.291872562</v>
      </c>
      <c r="R24" s="14" t="n">
        <f aca="false">R18-R19-R20-R21-R22-R23</f>
        <v>-15712.9467017774</v>
      </c>
      <c r="S24" s="14" t="n">
        <f aca="false">S18-S19-S20-S21-S22-S23</f>
        <v>-15175.5684344086</v>
      </c>
      <c r="T24" s="14" t="n">
        <f aca="false">T18-T19-T20-T21-T22-T23</f>
        <v>-21914.337732387</v>
      </c>
      <c r="U24" s="14" t="n">
        <f aca="false">U18-U19-U20-U21-U22-U23</f>
        <v>-21398.239644406</v>
      </c>
      <c r="V24" s="14" t="n">
        <f aca="false">V18-V19-V20-V21-V22-V23</f>
        <v>-20892.4635181845</v>
      </c>
      <c r="W24" s="14" t="n">
        <f aca="false">W18-W19-W20-W21-W22-W23</f>
        <v>-20396.8029144875</v>
      </c>
      <c r="X24" s="14" t="n">
        <f aca="false">X18-X19-X20-X21-X22-X23</f>
        <v>-19911.0555228644</v>
      </c>
      <c r="Y24" s="14" t="n">
        <f aca="false">Y18-Y19-Y20-Y21-Y22-Y23</f>
        <v>-19435.0230790738</v>
      </c>
    </row>
    <row r="25" customFormat="false" ht="15" hidden="false" customHeight="false" outlineLevel="0" collapsed="false">
      <c r="A25" s="0" t="s">
        <v>130</v>
      </c>
      <c r="B25" s="14" t="n">
        <f aca="false">MAX(B24*Inputs!$B$48,MAX(B18*Inputs!$B$49,250))</f>
        <v>250</v>
      </c>
      <c r="C25" s="14" t="n">
        <f aca="false">MAX(C24*Inputs!$B$48,MAX(C18*Inputs!$B$49,250))</f>
        <v>250</v>
      </c>
      <c r="D25" s="14" t="n">
        <f aca="false">MAX(D24*Inputs!$B$48,MAX(D18*Inputs!$B$49,250))</f>
        <v>250</v>
      </c>
      <c r="E25" s="14" t="n">
        <f aca="false">MAX(E24*Inputs!$B$48,MAX(E18*Inputs!$B$49,250))</f>
        <v>250</v>
      </c>
      <c r="F25" s="14" t="n">
        <f aca="false">MAX(F24*Inputs!$B$48,MAX(F18*Inputs!$B$49,250))</f>
        <v>250</v>
      </c>
      <c r="G25" s="14" t="n">
        <f aca="false">MAX(G24*Inputs!$B$48,MAX(G18*Inputs!$B$49,250))</f>
        <v>250</v>
      </c>
      <c r="H25" s="14" t="n">
        <f aca="false">MAX(H24*Inputs!$B$48,MAX(H18*Inputs!$B$49,250))</f>
        <v>250</v>
      </c>
      <c r="I25" s="14" t="n">
        <f aca="false">MAX(I24*Inputs!$B$48,MAX(I18*Inputs!$B$49,250))</f>
        <v>250</v>
      </c>
      <c r="J25" s="14" t="n">
        <f aca="false">MAX(J24*Inputs!$B$48,MAX(J18*Inputs!$B$49,250))</f>
        <v>274.006160251505</v>
      </c>
      <c r="K25" s="14" t="n">
        <f aca="false">MAX(K24*Inputs!$B$48,MAX(K18*Inputs!$B$49,250))</f>
        <v>400.334703713142</v>
      </c>
      <c r="L25" s="14" t="n">
        <f aca="false">MAX(L24*Inputs!$B$48,MAX(L18*Inputs!$B$49,250))</f>
        <v>524.136676305546</v>
      </c>
      <c r="M25" s="14" t="n">
        <f aca="false">MAX(M24*Inputs!$B$48,MAX(M18*Inputs!$B$49,250))</f>
        <v>645.462609446101</v>
      </c>
      <c r="N25" s="14" t="n">
        <f aca="false">MAX(N24*Inputs!$B$48,MAX(N18*Inputs!$B$49,250))</f>
        <v>250</v>
      </c>
      <c r="O25" s="14" t="n">
        <f aca="false">MAX(O24*Inputs!$B$48,MAX(O18*Inputs!$B$49,250))</f>
        <v>250</v>
      </c>
      <c r="P25" s="14" t="n">
        <f aca="false">MAX(P24*Inputs!$B$48,MAX(P18*Inputs!$B$49,250))</f>
        <v>250</v>
      </c>
      <c r="Q25" s="14" t="n">
        <f aca="false">MAX(Q24*Inputs!$B$48,MAX(Q18*Inputs!$B$49,250))</f>
        <v>250</v>
      </c>
      <c r="R25" s="14" t="n">
        <f aca="false">MAX(R24*Inputs!$B$48,MAX(R18*Inputs!$B$49,250))</f>
        <v>250</v>
      </c>
      <c r="S25" s="14" t="n">
        <f aca="false">MAX(S24*Inputs!$B$48,MAX(S18*Inputs!$B$49,250))</f>
        <v>250</v>
      </c>
      <c r="T25" s="14" t="n">
        <f aca="false">MAX(T24*Inputs!$B$48,MAX(T18*Inputs!$B$49,250))</f>
        <v>250</v>
      </c>
      <c r="U25" s="14" t="n">
        <f aca="false">MAX(U24*Inputs!$B$48,MAX(U18*Inputs!$B$49,250))</f>
        <v>250</v>
      </c>
      <c r="V25" s="14" t="n">
        <f aca="false">MAX(V24*Inputs!$B$48,MAX(V18*Inputs!$B$49,250))</f>
        <v>250</v>
      </c>
      <c r="W25" s="14" t="n">
        <f aca="false">MAX(W24*Inputs!$B$48,MAX(W18*Inputs!$B$49,250))</f>
        <v>250</v>
      </c>
      <c r="X25" s="14" t="n">
        <f aca="false">MAX(X24*Inputs!$B$48,MAX(X18*Inputs!$B$49,250))</f>
        <v>250</v>
      </c>
      <c r="Y25" s="14" t="n">
        <f aca="false">MAX(Y24*Inputs!$B$48,MAX(Y18*Inputs!$B$49,250))</f>
        <v>250</v>
      </c>
    </row>
    <row r="26" customFormat="false" ht="15" hidden="false" customHeight="false" outlineLevel="0" collapsed="false">
      <c r="A26" s="3" t="s">
        <v>131</v>
      </c>
      <c r="B26" s="14" t="n">
        <f aca="false">B24-B25</f>
        <v>-3662.67833333333</v>
      </c>
      <c r="C26" s="14" t="n">
        <f aca="false">C24-C25</f>
        <v>-3302.7031</v>
      </c>
      <c r="D26" s="14" t="n">
        <f aca="false">D24-D25</f>
        <v>-2949.92737133333</v>
      </c>
      <c r="E26" s="14" t="n">
        <f aca="false">E24-E25</f>
        <v>-2236.88549057333</v>
      </c>
      <c r="F26" s="14" t="n">
        <f aca="false">F24-F25</f>
        <v>-1538.10444742853</v>
      </c>
      <c r="G26" s="14" t="n">
        <f aca="false">G24-G25</f>
        <v>-853.299025146629</v>
      </c>
      <c r="H26" s="14" t="n">
        <f aca="false">H24-H25</f>
        <v>-182.189711310364</v>
      </c>
      <c r="I26" s="14" t="n">
        <f aca="false">I24-I25</f>
        <v>475.497416249176</v>
      </c>
      <c r="J26" s="14" t="n">
        <f aca="false">J24-J25</f>
        <v>1096.02464100602</v>
      </c>
      <c r="K26" s="14" t="n">
        <f aca="false">K24-K25</f>
        <v>1601.33881485257</v>
      </c>
      <c r="L26" s="14" t="n">
        <f aca="false">L24-L25</f>
        <v>2096.54670522218</v>
      </c>
      <c r="M26" s="14" t="n">
        <f aca="false">M24-M25</f>
        <v>2581.85043778441</v>
      </c>
      <c r="N26" s="14" t="n">
        <f aca="false">N24-N25</f>
        <v>-18224.3898803808</v>
      </c>
      <c r="O26" s="14" t="n">
        <f aca="false">O24-O25</f>
        <v>-17641.7827494398</v>
      </c>
      <c r="P26" s="14" t="n">
        <f aca="false">P24-P25</f>
        <v>-17070.8277611177</v>
      </c>
      <c r="Q26" s="14" t="n">
        <f aca="false">Q24-Q25</f>
        <v>-16511.291872562</v>
      </c>
      <c r="R26" s="14" t="n">
        <f aca="false">R24-R25</f>
        <v>-15962.9467017774</v>
      </c>
      <c r="S26" s="14" t="n">
        <f aca="false">S24-S25</f>
        <v>-15425.5684344086</v>
      </c>
      <c r="T26" s="14" t="n">
        <f aca="false">T24-T25</f>
        <v>-22164.337732387</v>
      </c>
      <c r="U26" s="14" t="n">
        <f aca="false">U24-U25</f>
        <v>-21648.239644406</v>
      </c>
      <c r="V26" s="14" t="n">
        <f aca="false">V24-V25</f>
        <v>-21142.4635181845</v>
      </c>
      <c r="W26" s="14" t="n">
        <f aca="false">W24-W25</f>
        <v>-20646.8029144875</v>
      </c>
      <c r="X26" s="14" t="n">
        <f aca="false">X24-X25</f>
        <v>-20161.0555228644</v>
      </c>
      <c r="Y26" s="14" t="n">
        <f aca="false">Y24-Y25</f>
        <v>-19685.0230790738</v>
      </c>
    </row>
    <row r="27" customFormat="false" ht="15" hidden="false" customHeight="false" outlineLevel="0" collapsed="false">
      <c r="A27" s="3" t="s">
        <v>132</v>
      </c>
      <c r="B27" s="14" t="n">
        <f aca="false">B26</f>
        <v>-3662.67833333333</v>
      </c>
      <c r="C27" s="14" t="n">
        <f aca="false">B27+C26</f>
        <v>-6965.38143333333</v>
      </c>
      <c r="D27" s="14" t="n">
        <f aca="false">C27+D26</f>
        <v>-9915.30880466667</v>
      </c>
      <c r="E27" s="14" t="n">
        <f aca="false">D27+E26</f>
        <v>-12152.19429524</v>
      </c>
      <c r="F27" s="14" t="n">
        <f aca="false">E27+F26</f>
        <v>-13690.2987426685</v>
      </c>
      <c r="G27" s="14" t="n">
        <f aca="false">F27+G26</f>
        <v>-14543.5977678152</v>
      </c>
      <c r="H27" s="14" t="n">
        <f aca="false">G27+H26</f>
        <v>-14725.7874791255</v>
      </c>
      <c r="I27" s="14" t="n">
        <f aca="false">H27+I26</f>
        <v>-14250.2900628764</v>
      </c>
      <c r="J27" s="14" t="n">
        <f aca="false">I27+J26</f>
        <v>-13154.2654218703</v>
      </c>
      <c r="K27" s="14" t="n">
        <f aca="false">J27+K26</f>
        <v>-11552.9266070178</v>
      </c>
      <c r="L27" s="14" t="n">
        <f aca="false">K27+L26</f>
        <v>-9456.37990179558</v>
      </c>
      <c r="M27" s="14" t="n">
        <f aca="false">L27+M26</f>
        <v>-6874.52946401117</v>
      </c>
      <c r="N27" s="14" t="n">
        <f aca="false">M27+N26</f>
        <v>-25098.9193443919</v>
      </c>
      <c r="O27" s="14" t="n">
        <f aca="false">N27+O26</f>
        <v>-42740.7020938318</v>
      </c>
      <c r="P27" s="14" t="n">
        <f aca="false">O27+P26</f>
        <v>-59811.5298549495</v>
      </c>
      <c r="Q27" s="14" t="n">
        <f aca="false">P27+Q26</f>
        <v>-76322.8217275115</v>
      </c>
      <c r="R27" s="14" t="n">
        <f aca="false">Q27+R26</f>
        <v>-92285.7684292889</v>
      </c>
      <c r="S27" s="14" t="n">
        <f aca="false">R27+S26</f>
        <v>-107711.336863697</v>
      </c>
      <c r="T27" s="14" t="n">
        <f aca="false">S27+T26</f>
        <v>-129875.674596084</v>
      </c>
      <c r="U27" s="14" t="n">
        <f aca="false">T27+U26</f>
        <v>-151523.91424049</v>
      </c>
      <c r="V27" s="14" t="n">
        <f aca="false">U27+V26</f>
        <v>-172666.377758675</v>
      </c>
      <c r="W27" s="14" t="n">
        <f aca="false">V27+W26</f>
        <v>-193313.180673162</v>
      </c>
      <c r="X27" s="14" t="n">
        <f aca="false">W27+X26</f>
        <v>-213474.236196027</v>
      </c>
      <c r="Y27" s="14" t="n">
        <f aca="false">X27+Y26</f>
        <v>-233159.259275101</v>
      </c>
    </row>
    <row r="30" customFormat="false" ht="15" hidden="false" customHeight="false" outlineLevel="0" collapsed="false">
      <c r="A30" s="20" t="s">
        <v>133</v>
      </c>
    </row>
    <row r="31" customFormat="false" ht="15" hidden="false" customHeight="false" outlineLevel="0" collapsed="false">
      <c r="A31" s="0" t="s">
        <v>110</v>
      </c>
      <c r="B31" s="21" t="n">
        <v>2</v>
      </c>
    </row>
    <row r="32" customFormat="false" ht="15" hidden="false" customHeight="false" outlineLevel="0" collapsed="false">
      <c r="A32" s="0" t="s">
        <v>111</v>
      </c>
      <c r="B32" s="21" t="n">
        <v>3</v>
      </c>
    </row>
    <row r="33" customFormat="false" ht="15" hidden="false" customHeight="false" outlineLevel="0" collapsed="false">
      <c r="A33" s="0" t="s">
        <v>112</v>
      </c>
      <c r="B33" s="21" t="n">
        <v>0.5</v>
      </c>
    </row>
    <row r="34" customFormat="false" ht="15" hidden="false" customHeight="false" outlineLevel="0" collapsed="false">
      <c r="A34" s="0" t="s">
        <v>113</v>
      </c>
      <c r="B34" s="21" t="n">
        <v>0.3</v>
      </c>
    </row>
    <row r="35" customFormat="false" ht="15" hidden="false" customHeight="false" outlineLevel="0" collapsed="false">
      <c r="A35" s="0" t="s">
        <v>114</v>
      </c>
      <c r="B35" s="8" t="n">
        <v>0.015</v>
      </c>
    </row>
    <row r="36" customFormat="false" ht="15" hidden="false" customHeight="false" outlineLevel="0" collapsed="false">
      <c r="A36" s="2" t="s">
        <v>115</v>
      </c>
    </row>
    <row r="37" customFormat="false" ht="15" hidden="false" customHeight="false" outlineLevel="0" collapsed="false">
      <c r="A37" s="3" t="s">
        <v>116</v>
      </c>
      <c r="B37" s="22" t="n">
        <v>1</v>
      </c>
      <c r="C37" s="22" t="n">
        <v>2</v>
      </c>
      <c r="D37" s="22" t="n">
        <v>3</v>
      </c>
      <c r="E37" s="22" t="n">
        <v>4</v>
      </c>
      <c r="F37" s="22" t="n">
        <v>5</v>
      </c>
      <c r="G37" s="22" t="n">
        <v>6</v>
      </c>
      <c r="H37" s="22" t="n">
        <v>7</v>
      </c>
      <c r="I37" s="22" t="n">
        <v>8</v>
      </c>
      <c r="J37" s="22" t="n">
        <v>9</v>
      </c>
      <c r="K37" s="22" t="n">
        <v>10</v>
      </c>
      <c r="L37" s="22" t="n">
        <v>11</v>
      </c>
      <c r="M37" s="22" t="n">
        <v>12</v>
      </c>
      <c r="N37" s="22" t="n">
        <v>13</v>
      </c>
      <c r="O37" s="22" t="n">
        <v>14</v>
      </c>
      <c r="P37" s="22" t="n">
        <v>15</v>
      </c>
      <c r="Q37" s="22" t="n">
        <v>16</v>
      </c>
      <c r="R37" s="22" t="n">
        <v>17</v>
      </c>
      <c r="S37" s="22" t="n">
        <v>18</v>
      </c>
      <c r="T37" s="22" t="n">
        <v>19</v>
      </c>
      <c r="U37" s="22" t="n">
        <v>20</v>
      </c>
      <c r="V37" s="22" t="n">
        <v>21</v>
      </c>
      <c r="W37" s="22" t="n">
        <v>22</v>
      </c>
      <c r="X37" s="22" t="n">
        <v>23</v>
      </c>
      <c r="Y37" s="22" t="n">
        <v>24</v>
      </c>
    </row>
    <row r="38" customFormat="false" ht="15" hidden="false" customHeight="false" outlineLevel="0" collapsed="false">
      <c r="A38" s="0" t="s">
        <v>117</v>
      </c>
      <c r="B38" s="18" t="n">
        <f aca="false">$B$31*IF(1&lt;=3,0.5,1)</f>
        <v>1</v>
      </c>
      <c r="C38" s="18" t="n">
        <f aca="false">B38*(1-$B$35)+$B$31*IF(2&lt;=3,0.5,1)</f>
        <v>1.985</v>
      </c>
      <c r="D38" s="18" t="n">
        <f aca="false">C38*(1-$B$35)+$B$31*IF(3&lt;=3,0.5,1)</f>
        <v>2.955225</v>
      </c>
      <c r="E38" s="18" t="n">
        <f aca="false">D38*(1-$B$35)+$B$31*IF(4&lt;=3,0.5,1)</f>
        <v>4.910896625</v>
      </c>
      <c r="F38" s="18" t="n">
        <f aca="false">E38*(1-$B$35)+$B$31*IF(5&lt;=3,0.5,1)</f>
        <v>6.837233175625</v>
      </c>
      <c r="G38" s="18" t="n">
        <f aca="false">F38*(1-$B$35)+$B$31*IF(6&lt;=3,0.5,1)</f>
        <v>8.73467467799063</v>
      </c>
      <c r="H38" s="18" t="n">
        <f aca="false">G38*(1-$B$35)+$B$31*IF(7&lt;=3,0.5,1)</f>
        <v>10.6036545578208</v>
      </c>
      <c r="I38" s="18" t="n">
        <f aca="false">H38*(1-$B$35)+$B$31*IF(8&lt;=3,0.5,1)</f>
        <v>12.4445997394535</v>
      </c>
      <c r="J38" s="18" t="n">
        <f aca="false">I38*(1-$B$35)+$B$31*IF(9&lt;=3,0.5,1)</f>
        <v>14.2579307433617</v>
      </c>
      <c r="K38" s="18" t="n">
        <f aca="false">J38*(1-$B$35)+$B$31*IF(10&lt;=3,0.5,1)</f>
        <v>16.0440617822112</v>
      </c>
      <c r="L38" s="18" t="n">
        <f aca="false">K38*(1-$B$35)+$B$31*IF(11&lt;=3,0.5,1)</f>
        <v>17.8034008554781</v>
      </c>
      <c r="M38" s="18" t="n">
        <f aca="false">L38*(1-$B$35)+$B$31*IF(12&lt;=3,0.5,1)</f>
        <v>19.5363498426459</v>
      </c>
      <c r="N38" s="18" t="n">
        <f aca="false">M38*(1-$B$35)+$B$31*IF(13&lt;=3,0.5,1)</f>
        <v>21.2433045950062</v>
      </c>
      <c r="O38" s="18" t="n">
        <f aca="false">N38*(1-$B$35)+$B$31*IF(14&lt;=3,0.5,1)</f>
        <v>22.9246550260811</v>
      </c>
      <c r="P38" s="18" t="n">
        <f aca="false">O38*(1-$B$35)+$B$31*IF(15&lt;=3,0.5,1)</f>
        <v>24.5807852006899</v>
      </c>
      <c r="Q38" s="18" t="n">
        <f aca="false">P38*(1-$B$35)+$B$31*IF(16&lt;=3,0.5,1)</f>
        <v>26.2120734226795</v>
      </c>
      <c r="R38" s="18" t="n">
        <f aca="false">Q38*(1-$B$35)+$B$31*IF(17&lt;=3,0.5,1)</f>
        <v>27.8188923213394</v>
      </c>
      <c r="S38" s="18" t="n">
        <f aca="false">R38*(1-$B$35)+$B$31*IF(18&lt;=3,0.5,1)</f>
        <v>29.4016089365193</v>
      </c>
      <c r="T38" s="18" t="n">
        <f aca="false">S38*(1-$B$35)+$B$31*IF(19&lt;=3,0.5,1)</f>
        <v>30.9605848024715</v>
      </c>
      <c r="U38" s="18" t="n">
        <f aca="false">T38*(1-$B$35)+$B$31*IF(20&lt;=3,0.5,1)</f>
        <v>32.4961760304344</v>
      </c>
      <c r="V38" s="18" t="n">
        <f aca="false">U38*(1-$B$35)+$B$31*IF(21&lt;=3,0.5,1)</f>
        <v>34.0087333899779</v>
      </c>
      <c r="W38" s="18" t="n">
        <f aca="false">V38*(1-$B$35)+$B$31*IF(22&lt;=3,0.5,1)</f>
        <v>35.4986023891282</v>
      </c>
      <c r="X38" s="18" t="n">
        <f aca="false">W38*(1-$B$35)+$B$31*IF(23&lt;=3,0.5,1)</f>
        <v>36.9661233532913</v>
      </c>
      <c r="Y38" s="18" t="n">
        <f aca="false">X38*(1-$B$35)+$B$31*IF(24&lt;=3,0.5,1)</f>
        <v>38.4116315029919</v>
      </c>
    </row>
    <row r="39" customFormat="false" ht="15" hidden="false" customHeight="false" outlineLevel="0" collapsed="false">
      <c r="A39" s="0" t="s">
        <v>118</v>
      </c>
      <c r="B39" s="18" t="n">
        <f aca="false">$B$32*IF(1&lt;=3,0.5,1)</f>
        <v>1.5</v>
      </c>
      <c r="C39" s="18" t="n">
        <f aca="false">B39*(1-$B$35)+$B$32*IF(2&lt;=3,0.5,1)</f>
        <v>2.9775</v>
      </c>
      <c r="D39" s="18" t="n">
        <f aca="false">C39*(1-$B$35)+$B$32*IF(3&lt;=3,0.5,1)</f>
        <v>4.4328375</v>
      </c>
      <c r="E39" s="18" t="n">
        <f aca="false">D39*(1-$B$35)+$B$32*IF(4&lt;=3,0.5,1)</f>
        <v>7.3663449375</v>
      </c>
      <c r="F39" s="18" t="n">
        <f aca="false">E39*(1-$B$35)+$B$32*IF(5&lt;=3,0.5,1)</f>
        <v>10.2558497634375</v>
      </c>
      <c r="G39" s="18" t="n">
        <f aca="false">F39*(1-$B$35)+$B$32*IF(6&lt;=3,0.5,1)</f>
        <v>13.1020120169859</v>
      </c>
      <c r="H39" s="18" t="n">
        <f aca="false">G39*(1-$B$35)+$B$32*IF(7&lt;=3,0.5,1)</f>
        <v>15.9054818367311</v>
      </c>
      <c r="I39" s="18" t="n">
        <f aca="false">H39*(1-$B$35)+$B$32*IF(8&lt;=3,0.5,1)</f>
        <v>18.6668996091802</v>
      </c>
      <c r="J39" s="18" t="n">
        <f aca="false">I39*(1-$B$35)+$B$32*IF(9&lt;=3,0.5,1)</f>
        <v>21.3868961150425</v>
      </c>
      <c r="K39" s="18" t="n">
        <f aca="false">J39*(1-$B$35)+$B$32*IF(10&lt;=3,0.5,1)</f>
        <v>24.0660926733168</v>
      </c>
      <c r="L39" s="18" t="n">
        <f aca="false">K39*(1-$B$35)+$B$32*IF(11&lt;=3,0.5,1)</f>
        <v>26.7051012832171</v>
      </c>
      <c r="M39" s="18" t="n">
        <f aca="false">L39*(1-$B$35)+$B$32*IF(12&lt;=3,0.5,1)</f>
        <v>29.3045247639688</v>
      </c>
      <c r="N39" s="18" t="n">
        <f aca="false">M39*(1-$B$35)+$B$32*IF(13&lt;=3,0.5,1)</f>
        <v>31.8649568925093</v>
      </c>
      <c r="O39" s="18" t="n">
        <f aca="false">N39*(1-$B$35)+$B$32*IF(14&lt;=3,0.5,1)</f>
        <v>34.3869825391217</v>
      </c>
      <c r="P39" s="18" t="n">
        <f aca="false">O39*(1-$B$35)+$B$32*IF(15&lt;=3,0.5,1)</f>
        <v>36.8711778010348</v>
      </c>
      <c r="Q39" s="18" t="n">
        <f aca="false">P39*(1-$B$35)+$B$32*IF(16&lt;=3,0.5,1)</f>
        <v>39.3181101340193</v>
      </c>
      <c r="R39" s="18" t="n">
        <f aca="false">Q39*(1-$B$35)+$B$32*IF(17&lt;=3,0.5,1)</f>
        <v>41.728338482009</v>
      </c>
      <c r="S39" s="18" t="n">
        <f aca="false">R39*(1-$B$35)+$B$32*IF(18&lt;=3,0.5,1)</f>
        <v>44.1024134047789</v>
      </c>
      <c r="T39" s="18" t="n">
        <f aca="false">S39*(1-$B$35)+$B$32*IF(19&lt;=3,0.5,1)</f>
        <v>46.4408772037072</v>
      </c>
      <c r="U39" s="18" t="n">
        <f aca="false">T39*(1-$B$35)+$B$32*IF(20&lt;=3,0.5,1)</f>
        <v>48.7442640456516</v>
      </c>
      <c r="V39" s="18" t="n">
        <f aca="false">U39*(1-$B$35)+$B$32*IF(21&lt;=3,0.5,1)</f>
        <v>51.0131000849668</v>
      </c>
      <c r="W39" s="18" t="n">
        <f aca="false">V39*(1-$B$35)+$B$32*IF(22&lt;=3,0.5,1)</f>
        <v>53.2479035836923</v>
      </c>
      <c r="X39" s="18" t="n">
        <f aca="false">W39*(1-$B$35)+$B$32*IF(23&lt;=3,0.5,1)</f>
        <v>55.4491850299369</v>
      </c>
      <c r="Y39" s="18" t="n">
        <f aca="false">X39*(1-$B$35)+$B$32*IF(24&lt;=3,0.5,1)</f>
        <v>57.6174472544879</v>
      </c>
    </row>
    <row r="40" customFormat="false" ht="15" hidden="false" customHeight="false" outlineLevel="0" collapsed="false">
      <c r="A40" s="0" t="s">
        <v>119</v>
      </c>
      <c r="B40" s="18" t="n">
        <f aca="false">$B$33*IF(1&lt;=3,0.5,1)</f>
        <v>0.25</v>
      </c>
      <c r="C40" s="18" t="n">
        <f aca="false">B40*(1-$B$35)+$B$33*IF(2&lt;=3,0.5,1)</f>
        <v>0.49625</v>
      </c>
      <c r="D40" s="18" t="n">
        <f aca="false">C40*(1-$B$35)+$B$33*IF(3&lt;=3,0.5,1)</f>
        <v>0.73880625</v>
      </c>
      <c r="E40" s="18" t="n">
        <f aca="false">D40*(1-$B$35)+$B$33*IF(4&lt;=3,0.5,1)</f>
        <v>1.22772415625</v>
      </c>
      <c r="F40" s="18" t="n">
        <f aca="false">E40*(1-$B$35)+$B$33*IF(5&lt;=3,0.5,1)</f>
        <v>1.70930829390625</v>
      </c>
      <c r="G40" s="18" t="n">
        <f aca="false">F40*(1-$B$35)+$B$33*IF(6&lt;=3,0.5,1)</f>
        <v>2.18366866949766</v>
      </c>
      <c r="H40" s="18" t="n">
        <f aca="false">G40*(1-$B$35)+$B$33*IF(7&lt;=3,0.5,1)</f>
        <v>2.65091363945519</v>
      </c>
      <c r="I40" s="18" t="n">
        <f aca="false">H40*(1-$B$35)+$B$33*IF(8&lt;=3,0.5,1)</f>
        <v>3.11114993486336</v>
      </c>
      <c r="J40" s="18" t="n">
        <f aca="false">I40*(1-$B$35)+$B$33*IF(9&lt;=3,0.5,1)</f>
        <v>3.56448268584041</v>
      </c>
      <c r="K40" s="18" t="n">
        <f aca="false">J40*(1-$B$35)+$B$33*IF(10&lt;=3,0.5,1)</f>
        <v>4.01101544555281</v>
      </c>
      <c r="L40" s="18" t="n">
        <f aca="false">K40*(1-$B$35)+$B$33*IF(11&lt;=3,0.5,1)</f>
        <v>4.45085021386952</v>
      </c>
      <c r="M40" s="18" t="n">
        <f aca="false">L40*(1-$B$35)+$B$33*IF(12&lt;=3,0.5,1)</f>
        <v>4.88408746066147</v>
      </c>
      <c r="N40" s="18" t="n">
        <f aca="false">M40*(1-$B$35)+$B$33*IF(13&lt;=3,0.5,1)</f>
        <v>5.31082614875155</v>
      </c>
      <c r="O40" s="18" t="n">
        <f aca="false">N40*(1-$B$35)+$B$33*IF(14&lt;=3,0.5,1)</f>
        <v>5.73116375652028</v>
      </c>
      <c r="P40" s="18" t="n">
        <f aca="false">O40*(1-$B$35)+$B$33*IF(15&lt;=3,0.5,1)</f>
        <v>6.14519630017247</v>
      </c>
      <c r="Q40" s="18" t="n">
        <f aca="false">P40*(1-$B$35)+$B$33*IF(16&lt;=3,0.5,1)</f>
        <v>6.55301835566989</v>
      </c>
      <c r="R40" s="18" t="n">
        <f aca="false">Q40*(1-$B$35)+$B$33*IF(17&lt;=3,0.5,1)</f>
        <v>6.95472308033484</v>
      </c>
      <c r="S40" s="18" t="n">
        <f aca="false">R40*(1-$B$35)+$B$33*IF(18&lt;=3,0.5,1)</f>
        <v>7.35040223412982</v>
      </c>
      <c r="T40" s="18" t="n">
        <f aca="false">S40*(1-$B$35)+$B$33*IF(19&lt;=3,0.5,1)</f>
        <v>7.74014620061787</v>
      </c>
      <c r="U40" s="18" t="n">
        <f aca="false">T40*(1-$B$35)+$B$33*IF(20&lt;=3,0.5,1)</f>
        <v>8.1240440076086</v>
      </c>
      <c r="V40" s="18" t="n">
        <f aca="false">U40*(1-$B$35)+$B$33*IF(21&lt;=3,0.5,1)</f>
        <v>8.50218334749447</v>
      </c>
      <c r="W40" s="18" t="n">
        <f aca="false">V40*(1-$B$35)+$B$33*IF(22&lt;=3,0.5,1)</f>
        <v>8.87465059728205</v>
      </c>
      <c r="X40" s="18" t="n">
        <f aca="false">W40*(1-$B$35)+$B$33*IF(23&lt;=3,0.5,1)</f>
        <v>9.24153083832282</v>
      </c>
      <c r="Y40" s="18" t="n">
        <f aca="false">X40*(1-$B$35)+$B$33*IF(24&lt;=3,0.5,1)</f>
        <v>9.60290787574798</v>
      </c>
    </row>
    <row r="41" customFormat="false" ht="15" hidden="false" customHeight="false" outlineLevel="0" collapsed="false">
      <c r="A41" s="0" t="s">
        <v>120</v>
      </c>
      <c r="B41" s="18" t="n">
        <f aca="false">$B$34*IF(1&lt;=3,0.5,1)</f>
        <v>0.15</v>
      </c>
      <c r="C41" s="18" t="n">
        <f aca="false">B41*(1-$B$35)+$B$34*IF(2&lt;=3,0.5,1)</f>
        <v>0.29775</v>
      </c>
      <c r="D41" s="18" t="n">
        <f aca="false">C41*(1-$B$35)+$B$34*IF(3&lt;=3,0.5,1)</f>
        <v>0.44328375</v>
      </c>
      <c r="E41" s="18" t="n">
        <f aca="false">D41*(1-$B$35)+$B$34*IF(4&lt;=3,0.5,1)</f>
        <v>0.73663449375</v>
      </c>
      <c r="F41" s="18" t="n">
        <f aca="false">E41*(1-$B$35)+$B$34*IF(5&lt;=3,0.5,1)</f>
        <v>1.02558497634375</v>
      </c>
      <c r="G41" s="18" t="n">
        <f aca="false">F41*(1-$B$35)+$B$34*IF(6&lt;=3,0.5,1)</f>
        <v>1.31020120169859</v>
      </c>
      <c r="H41" s="18" t="n">
        <f aca="false">G41*(1-$B$35)+$B$34*IF(7&lt;=3,0.5,1)</f>
        <v>1.59054818367311</v>
      </c>
      <c r="I41" s="18" t="n">
        <f aca="false">H41*(1-$B$35)+$B$34*IF(8&lt;=3,0.5,1)</f>
        <v>1.86668996091802</v>
      </c>
      <c r="J41" s="18" t="n">
        <f aca="false">I41*(1-$B$35)+$B$34*IF(9&lt;=3,0.5,1)</f>
        <v>2.13868961150425</v>
      </c>
      <c r="K41" s="18" t="n">
        <f aca="false">J41*(1-$B$35)+$B$34*IF(10&lt;=3,0.5,1)</f>
        <v>2.40660926733168</v>
      </c>
      <c r="L41" s="18" t="n">
        <f aca="false">K41*(1-$B$35)+$B$34*IF(11&lt;=3,0.5,1)</f>
        <v>2.67051012832171</v>
      </c>
      <c r="M41" s="18" t="n">
        <f aca="false">L41*(1-$B$35)+$B$34*IF(12&lt;=3,0.5,1)</f>
        <v>2.93045247639688</v>
      </c>
      <c r="N41" s="18" t="n">
        <f aca="false">M41*(1-$B$35)+$B$34*IF(13&lt;=3,0.5,1)</f>
        <v>3.18649568925093</v>
      </c>
      <c r="O41" s="18" t="n">
        <f aca="false">N41*(1-$B$35)+$B$34*IF(14&lt;=3,0.5,1)</f>
        <v>3.43869825391216</v>
      </c>
      <c r="P41" s="18" t="n">
        <f aca="false">O41*(1-$B$35)+$B$34*IF(15&lt;=3,0.5,1)</f>
        <v>3.68711778010348</v>
      </c>
      <c r="Q41" s="18" t="n">
        <f aca="false">P41*(1-$B$35)+$B$34*IF(16&lt;=3,0.5,1)</f>
        <v>3.93181101340193</v>
      </c>
      <c r="R41" s="18" t="n">
        <f aca="false">Q41*(1-$B$35)+$B$34*IF(17&lt;=3,0.5,1)</f>
        <v>4.1728338482009</v>
      </c>
      <c r="S41" s="18" t="n">
        <f aca="false">R41*(1-$B$35)+$B$34*IF(18&lt;=3,0.5,1)</f>
        <v>4.41024134047789</v>
      </c>
      <c r="T41" s="18" t="n">
        <f aca="false">S41*(1-$B$35)+$B$34*IF(19&lt;=3,0.5,1)</f>
        <v>4.64408772037072</v>
      </c>
      <c r="U41" s="18" t="n">
        <f aca="false">T41*(1-$B$35)+$B$34*IF(20&lt;=3,0.5,1)</f>
        <v>4.87442640456516</v>
      </c>
      <c r="V41" s="18" t="n">
        <f aca="false">U41*(1-$B$35)+$B$34*IF(21&lt;=3,0.5,1)</f>
        <v>5.10131000849668</v>
      </c>
      <c r="W41" s="18" t="n">
        <f aca="false">V41*(1-$B$35)+$B$34*IF(22&lt;=3,0.5,1)</f>
        <v>5.32479035836923</v>
      </c>
      <c r="X41" s="18" t="n">
        <f aca="false">W41*(1-$B$35)+$B$34*IF(23&lt;=3,0.5,1)</f>
        <v>5.54491850299369</v>
      </c>
      <c r="Y41" s="18" t="n">
        <f aca="false">X41*(1-$B$35)+$B$34*IF(24&lt;=3,0.5,1)</f>
        <v>5.76174472544879</v>
      </c>
    </row>
    <row r="42" customFormat="false" ht="15" hidden="false" customHeight="false" outlineLevel="0" collapsed="false">
      <c r="A42" s="0" t="s">
        <v>121</v>
      </c>
      <c r="B42" s="17" t="n">
        <f aca="false">B38*Inputs!$B$35+B39*Inputs!$B$36+B40*Inputs!$B$37+B41*Inputs!$B$38</f>
        <v>233.5</v>
      </c>
      <c r="C42" s="17" t="n">
        <f aca="false">C38*Inputs!$B$35+C39*Inputs!$B$36+C40*Inputs!$B$37+C41*Inputs!$B$38</f>
        <v>463.4975</v>
      </c>
      <c r="D42" s="17" t="n">
        <f aca="false">D38*Inputs!$B$35+D39*Inputs!$B$36+D40*Inputs!$B$37+D41*Inputs!$B$38</f>
        <v>690.0450375</v>
      </c>
      <c r="E42" s="17" t="n">
        <f aca="false">E38*Inputs!$B$35+E39*Inputs!$B$36+E40*Inputs!$B$37+E41*Inputs!$B$38</f>
        <v>1146.6943619375</v>
      </c>
      <c r="F42" s="17" t="n">
        <f aca="false">F38*Inputs!$B$35+F39*Inputs!$B$36+F40*Inputs!$B$37+F41*Inputs!$B$38</f>
        <v>1596.49394650844</v>
      </c>
      <c r="G42" s="17" t="n">
        <f aca="false">G38*Inputs!$B$35+G39*Inputs!$B$36+G40*Inputs!$B$37+G41*Inputs!$B$38</f>
        <v>2039.54653731081</v>
      </c>
      <c r="H42" s="17" t="n">
        <f aca="false">H38*Inputs!$B$35+H39*Inputs!$B$36+H40*Inputs!$B$37+H41*Inputs!$B$38</f>
        <v>2475.95333925115</v>
      </c>
      <c r="I42" s="17" t="n">
        <f aca="false">I38*Inputs!$B$35+I39*Inputs!$B$36+I40*Inputs!$B$37+I41*Inputs!$B$38</f>
        <v>2905.81403916238</v>
      </c>
      <c r="J42" s="17" t="n">
        <f aca="false">J38*Inputs!$B$35+J39*Inputs!$B$36+J40*Inputs!$B$37+J41*Inputs!$B$38</f>
        <v>3329.22682857495</v>
      </c>
      <c r="K42" s="17" t="n">
        <f aca="false">K38*Inputs!$B$35+K39*Inputs!$B$36+K40*Inputs!$B$37+K41*Inputs!$B$38</f>
        <v>3746.28842614632</v>
      </c>
      <c r="L42" s="17" t="n">
        <f aca="false">L38*Inputs!$B$35+L39*Inputs!$B$36+L40*Inputs!$B$37+L41*Inputs!$B$38</f>
        <v>4157.09409975413</v>
      </c>
      <c r="M42" s="17" t="n">
        <f aca="false">M38*Inputs!$B$35+M39*Inputs!$B$36+M40*Inputs!$B$37+M41*Inputs!$B$38</f>
        <v>4561.73768825781</v>
      </c>
      <c r="N42" s="17" t="n">
        <f aca="false">N38*Inputs!$B$35+N39*Inputs!$B$36+N40*Inputs!$B$37+N41*Inputs!$B$38</f>
        <v>4960.31162293395</v>
      </c>
      <c r="O42" s="17" t="n">
        <f aca="false">O38*Inputs!$B$35+O39*Inputs!$B$36+O40*Inputs!$B$37+O41*Inputs!$B$38</f>
        <v>5352.90694858994</v>
      </c>
      <c r="P42" s="17" t="n">
        <f aca="false">P38*Inputs!$B$35+P39*Inputs!$B$36+P40*Inputs!$B$37+P41*Inputs!$B$38</f>
        <v>5739.61334436109</v>
      </c>
      <c r="Q42" s="17" t="n">
        <f aca="false">Q38*Inputs!$B$35+Q39*Inputs!$B$36+Q40*Inputs!$B$37+Q41*Inputs!$B$38</f>
        <v>6120.51914419567</v>
      </c>
      <c r="R42" s="17" t="n">
        <f aca="false">R38*Inputs!$B$35+R39*Inputs!$B$36+R40*Inputs!$B$37+R41*Inputs!$B$38</f>
        <v>6495.71135703274</v>
      </c>
      <c r="S42" s="17" t="n">
        <f aca="false">S38*Inputs!$B$35+S39*Inputs!$B$36+S40*Inputs!$B$37+S41*Inputs!$B$38</f>
        <v>6865.27568667725</v>
      </c>
      <c r="T42" s="17" t="n">
        <f aca="false">T38*Inputs!$B$35+T39*Inputs!$B$36+T40*Inputs!$B$37+T41*Inputs!$B$38</f>
        <v>7229.29655137709</v>
      </c>
      <c r="U42" s="17" t="n">
        <f aca="false">U38*Inputs!$B$35+U39*Inputs!$B$36+U40*Inputs!$B$37+U41*Inputs!$B$38</f>
        <v>7587.85710310643</v>
      </c>
      <c r="V42" s="17" t="n">
        <f aca="false">V38*Inputs!$B$35+V39*Inputs!$B$36+V40*Inputs!$B$37+V41*Inputs!$B$38</f>
        <v>7941.03924655983</v>
      </c>
      <c r="W42" s="17" t="n">
        <f aca="false">W38*Inputs!$B$35+W39*Inputs!$B$36+W40*Inputs!$B$37+W41*Inputs!$B$38</f>
        <v>8288.92365786144</v>
      </c>
      <c r="X42" s="17" t="n">
        <f aca="false">X38*Inputs!$B$35+X39*Inputs!$B$36+X40*Inputs!$B$37+X41*Inputs!$B$38</f>
        <v>8631.58980299351</v>
      </c>
      <c r="Y42" s="17" t="n">
        <f aca="false">Y38*Inputs!$B$35+Y39*Inputs!$B$36+Y40*Inputs!$B$37+Y41*Inputs!$B$38</f>
        <v>8969.11595594861</v>
      </c>
    </row>
    <row r="43" customFormat="false" ht="15" hidden="false" customHeight="false" outlineLevel="0" collapsed="false">
      <c r="A43" s="0" t="s">
        <v>122</v>
      </c>
      <c r="B43" s="14" t="n">
        <f aca="false">B38*'Unit economics'!$E$2+B39*'Unit economics'!$E$3+B40*'Unit economics'!$E$4+B41*'Unit economics'!$E$5</f>
        <v>1439</v>
      </c>
      <c r="C43" s="14" t="n">
        <f aca="false">C38*'Unit economics'!$E$2+C39*'Unit economics'!$E$3+C40*'Unit economics'!$E$4+C41*'Unit economics'!$E$5</f>
        <v>2856.415</v>
      </c>
      <c r="D43" s="14" t="n">
        <f aca="false">D38*'Unit economics'!$E$2+D39*'Unit economics'!$E$3+D40*'Unit economics'!$E$4+D41*'Unit economics'!$E$5</f>
        <v>4252.568775</v>
      </c>
      <c r="E43" s="14" t="n">
        <f aca="false">E38*'Unit economics'!$E$2+E39*'Unit economics'!$E$3+E40*'Unit economics'!$E$4+E41*'Unit economics'!$E$5</f>
        <v>7066.780243375</v>
      </c>
      <c r="F43" s="14" t="n">
        <f aca="false">F38*'Unit economics'!$E$2+F39*'Unit economics'!$E$3+F40*'Unit economics'!$E$4+F41*'Unit economics'!$E$5</f>
        <v>9838.77853972438</v>
      </c>
      <c r="G43" s="14" t="n">
        <f aca="false">G38*'Unit economics'!$E$2+G39*'Unit economics'!$E$3+G40*'Unit economics'!$E$4+G41*'Unit economics'!$E$5</f>
        <v>12569.1968616285</v>
      </c>
      <c r="H43" s="14" t="n">
        <f aca="false">H38*'Unit economics'!$E$2+H39*'Unit economics'!$E$3+H40*'Unit economics'!$E$4+H41*'Unit economics'!$E$5</f>
        <v>15258.6589087041</v>
      </c>
      <c r="I43" s="14" t="n">
        <f aca="false">I38*'Unit economics'!$E$2+I39*'Unit economics'!$E$3+I40*'Unit economics'!$E$4+I41*'Unit economics'!$E$5</f>
        <v>17907.7790250735</v>
      </c>
      <c r="J43" s="14" t="n">
        <f aca="false">J38*'Unit economics'!$E$2+J39*'Unit economics'!$E$3+J40*'Unit economics'!$E$4+J41*'Unit economics'!$E$5</f>
        <v>20517.1623396974</v>
      </c>
      <c r="K43" s="14" t="n">
        <f aca="false">K38*'Unit economics'!$E$2+K39*'Unit economics'!$E$3+K40*'Unit economics'!$E$4+K41*'Unit economics'!$E$5</f>
        <v>23087.404904602</v>
      </c>
      <c r="L43" s="14" t="n">
        <f aca="false">L38*'Unit economics'!$E$2+L39*'Unit economics'!$E$3+L40*'Unit economics'!$E$4+L41*'Unit economics'!$E$5</f>
        <v>25619.0938310329</v>
      </c>
      <c r="M43" s="14" t="n">
        <f aca="false">M38*'Unit economics'!$E$2+M39*'Unit economics'!$E$3+M40*'Unit economics'!$E$4+M41*'Unit economics'!$E$5</f>
        <v>28112.8074235674</v>
      </c>
      <c r="N43" s="14" t="n">
        <f aca="false">N38*'Unit economics'!$E$2+N39*'Unit economics'!$E$3+N40*'Unit economics'!$E$4+N41*'Unit economics'!$E$5</f>
        <v>30569.1153122139</v>
      </c>
      <c r="O43" s="14" t="n">
        <f aca="false">O38*'Unit economics'!$E$2+O39*'Unit economics'!$E$3+O40*'Unit economics'!$E$4+O41*'Unit economics'!$E$5</f>
        <v>32988.5785825307</v>
      </c>
      <c r="P43" s="14" t="n">
        <f aca="false">P38*'Unit economics'!$E$2+P39*'Unit economics'!$E$3+P40*'Unit economics'!$E$4+P41*'Unit economics'!$E$5</f>
        <v>35371.7499037928</v>
      </c>
      <c r="Q43" s="14" t="n">
        <f aca="false">Q38*'Unit economics'!$E$2+Q39*'Unit economics'!$E$3+Q40*'Unit economics'!$E$4+Q41*'Unit economics'!$E$5</f>
        <v>37719.1736552359</v>
      </c>
      <c r="R43" s="14" t="n">
        <f aca="false">R38*'Unit economics'!$E$2+R39*'Unit economics'!$E$3+R40*'Unit economics'!$E$4+R41*'Unit economics'!$E$5</f>
        <v>40031.3860504073</v>
      </c>
      <c r="S43" s="14" t="n">
        <f aca="false">S38*'Unit economics'!$E$2+S39*'Unit economics'!$E$3+S40*'Unit economics'!$E$4+S41*'Unit economics'!$E$5</f>
        <v>42308.9152596512</v>
      </c>
      <c r="T43" s="14" t="n">
        <f aca="false">T38*'Unit economics'!$E$2+T39*'Unit economics'!$E$3+T40*'Unit economics'!$E$4+T41*'Unit economics'!$E$5</f>
        <v>44552.2815307564</v>
      </c>
      <c r="U43" s="14" t="n">
        <f aca="false">U38*'Unit economics'!$E$2+U39*'Unit economics'!$E$3+U40*'Unit economics'!$E$4+U41*'Unit economics'!$E$5</f>
        <v>46761.9973077951</v>
      </c>
      <c r="V43" s="14" t="n">
        <f aca="false">V38*'Unit economics'!$E$2+V39*'Unit economics'!$E$3+V40*'Unit economics'!$E$4+V41*'Unit economics'!$E$5</f>
        <v>48938.5673481782</v>
      </c>
      <c r="W43" s="14" t="n">
        <f aca="false">W38*'Unit economics'!$E$2+W39*'Unit economics'!$E$3+W40*'Unit economics'!$E$4+W41*'Unit economics'!$E$5</f>
        <v>51082.4888379555</v>
      </c>
      <c r="X43" s="14" t="n">
        <f aca="false">X38*'Unit economics'!$E$2+X39*'Unit economics'!$E$3+X40*'Unit economics'!$E$4+X41*'Unit economics'!$E$5</f>
        <v>53194.2515053862</v>
      </c>
      <c r="Y43" s="14" t="n">
        <f aca="false">Y38*'Unit economics'!$E$2+Y39*'Unit economics'!$E$3+Y40*'Unit economics'!$E$4+Y41*'Unit economics'!$E$5</f>
        <v>55274.3377328054</v>
      </c>
    </row>
    <row r="44" customFormat="false" ht="15" hidden="false" customHeight="false" outlineLevel="0" collapsed="false">
      <c r="A44" s="0" t="s">
        <v>123</v>
      </c>
      <c r="B44" s="14" t="n">
        <f aca="false">B43/(1+Inputs!$B$20)</f>
        <v>1199.16666666667</v>
      </c>
      <c r="C44" s="14" t="n">
        <f aca="false">C43/(1+Inputs!$B$20)</f>
        <v>2380.34583333333</v>
      </c>
      <c r="D44" s="14" t="n">
        <f aca="false">D43/(1+Inputs!$B$20)</f>
        <v>3543.8073125</v>
      </c>
      <c r="E44" s="14" t="n">
        <f aca="false">E43/(1+Inputs!$B$20)</f>
        <v>5888.98353614583</v>
      </c>
      <c r="F44" s="14" t="n">
        <f aca="false">F43/(1+Inputs!$B$20)</f>
        <v>8198.98211643698</v>
      </c>
      <c r="G44" s="14" t="n">
        <f aca="false">G43/(1+Inputs!$B$20)</f>
        <v>10474.3307180238</v>
      </c>
      <c r="H44" s="14" t="n">
        <f aca="false">H43/(1+Inputs!$B$20)</f>
        <v>12715.5490905867</v>
      </c>
      <c r="I44" s="14" t="n">
        <f aca="false">I43/(1+Inputs!$B$20)</f>
        <v>14923.1491875613</v>
      </c>
      <c r="J44" s="14" t="n">
        <f aca="false">J43/(1+Inputs!$B$20)</f>
        <v>17097.6352830812</v>
      </c>
      <c r="K44" s="14" t="n">
        <f aca="false">K43/(1+Inputs!$B$20)</f>
        <v>19239.5040871683</v>
      </c>
      <c r="L44" s="14" t="n">
        <f aca="false">L43/(1+Inputs!$B$20)</f>
        <v>21349.2448591941</v>
      </c>
      <c r="M44" s="14" t="n">
        <f aca="false">M43/(1+Inputs!$B$20)</f>
        <v>23427.3395196395</v>
      </c>
      <c r="N44" s="14" t="n">
        <f aca="false">N43/(1+Inputs!$B$20)</f>
        <v>25474.2627601783</v>
      </c>
      <c r="O44" s="14" t="n">
        <f aca="false">O43/(1+Inputs!$B$20)</f>
        <v>27490.4821521089</v>
      </c>
      <c r="P44" s="14" t="n">
        <f aca="false">P43/(1+Inputs!$B$20)</f>
        <v>29476.4582531606</v>
      </c>
      <c r="Q44" s="14" t="n">
        <f aca="false">Q43/(1+Inputs!$B$20)</f>
        <v>31432.6447126965</v>
      </c>
      <c r="R44" s="14" t="n">
        <f aca="false">R43/(1+Inputs!$B$20)</f>
        <v>33359.4883753394</v>
      </c>
      <c r="S44" s="14" t="n">
        <f aca="false">S43/(1+Inputs!$B$20)</f>
        <v>35257.4293830427</v>
      </c>
      <c r="T44" s="14" t="n">
        <f aca="false">T43/(1+Inputs!$B$20)</f>
        <v>37126.9012756304</v>
      </c>
      <c r="U44" s="14" t="n">
        <f aca="false">U43/(1+Inputs!$B$20)</f>
        <v>38968.3310898292</v>
      </c>
      <c r="V44" s="14" t="n">
        <f aca="false">V43/(1+Inputs!$B$20)</f>
        <v>40782.1394568151</v>
      </c>
      <c r="W44" s="14" t="n">
        <f aca="false">W43/(1+Inputs!$B$20)</f>
        <v>42568.7406982962</v>
      </c>
      <c r="X44" s="14" t="n">
        <f aca="false">X43/(1+Inputs!$B$20)</f>
        <v>44328.5429211551</v>
      </c>
      <c r="Y44" s="14" t="n">
        <f aca="false">Y43/(1+Inputs!$B$20)</f>
        <v>46061.9481106711</v>
      </c>
    </row>
    <row r="45" customFormat="false" ht="15" hidden="false" customHeight="false" outlineLevel="0" collapsed="false">
      <c r="A45" s="0" t="s">
        <v>124</v>
      </c>
      <c r="B45" s="14" t="n">
        <f aca="false">B38*('Unit economics'!$H$2+'Unit economics'!$I$2)+B39*('Unit economics'!$H$3+'Unit economics'!$I$3)+B40*('Unit economics'!$H$4+'Unit economics'!$I$4)+B41*('Unit economics'!$H$5+'Unit economics'!$I$5)</f>
        <v>225.57</v>
      </c>
      <c r="C45" s="14" t="n">
        <f aca="false">C38*('Unit economics'!$H$2+'Unit economics'!$I$2)+C39*('Unit economics'!$H$3+'Unit economics'!$I$3)+C40*('Unit economics'!$H$4+'Unit economics'!$I$4)+C41*('Unit economics'!$H$5+'Unit economics'!$I$5)</f>
        <v>447.75645</v>
      </c>
      <c r="D45" s="14" t="n">
        <f aca="false">D38*('Unit economics'!$H$2+'Unit economics'!$I$2)+D39*('Unit economics'!$H$3+'Unit economics'!$I$3)+D40*('Unit economics'!$H$4+'Unit economics'!$I$4)+D41*('Unit economics'!$H$5+'Unit economics'!$I$5)</f>
        <v>666.61010325</v>
      </c>
      <c r="E45" s="14" t="n">
        <f aca="false">E38*('Unit economics'!$H$2+'Unit economics'!$I$2)+E39*('Unit economics'!$H$3+'Unit economics'!$I$3)+E40*('Unit economics'!$H$4+'Unit economics'!$I$4)+E41*('Unit economics'!$H$5+'Unit economics'!$I$5)</f>
        <v>1107.75095170125</v>
      </c>
      <c r="F45" s="14" t="n">
        <f aca="false">F38*('Unit economics'!$H$2+'Unit economics'!$I$2)+F39*('Unit economics'!$H$3+'Unit economics'!$I$3)+F40*('Unit economics'!$H$4+'Unit economics'!$I$4)+F41*('Unit economics'!$H$5+'Unit economics'!$I$5)</f>
        <v>1542.27468742573</v>
      </c>
      <c r="G45" s="14" t="n">
        <f aca="false">G38*('Unit economics'!$H$2+'Unit economics'!$I$2)+G39*('Unit economics'!$H$3+'Unit economics'!$I$3)+G40*('Unit economics'!$H$4+'Unit economics'!$I$4)+G41*('Unit economics'!$H$5+'Unit economics'!$I$5)</f>
        <v>1970.28056711435</v>
      </c>
      <c r="H45" s="14" t="n">
        <f aca="false">H38*('Unit economics'!$H$2+'Unit economics'!$I$2)+H39*('Unit economics'!$H$3+'Unit economics'!$I$3)+H40*('Unit economics'!$H$4+'Unit economics'!$I$4)+H41*('Unit economics'!$H$5+'Unit economics'!$I$5)</f>
        <v>2391.86635860763</v>
      </c>
      <c r="I45" s="14" t="n">
        <f aca="false">I38*('Unit economics'!$H$2+'Unit economics'!$I$2)+I39*('Unit economics'!$H$3+'Unit economics'!$I$3)+I40*('Unit economics'!$H$4+'Unit economics'!$I$4)+I41*('Unit economics'!$H$5+'Unit economics'!$I$5)</f>
        <v>2807.12836322852</v>
      </c>
      <c r="J45" s="14" t="n">
        <f aca="false">J38*('Unit economics'!$H$2+'Unit economics'!$I$2)+J39*('Unit economics'!$H$3+'Unit economics'!$I$3)+J40*('Unit economics'!$H$4+'Unit economics'!$I$4)+J41*('Unit economics'!$H$5+'Unit economics'!$I$5)</f>
        <v>3216.16143778009</v>
      </c>
      <c r="K45" s="14" t="n">
        <f aca="false">K38*('Unit economics'!$H$2+'Unit economics'!$I$2)+K39*('Unit economics'!$H$3+'Unit economics'!$I$3)+K40*('Unit economics'!$H$4+'Unit economics'!$I$4)+K41*('Unit economics'!$H$5+'Unit economics'!$I$5)</f>
        <v>3619.05901621339</v>
      </c>
      <c r="L45" s="14" t="n">
        <f aca="false">L38*('Unit economics'!$H$2+'Unit economics'!$I$2)+L39*('Unit economics'!$H$3+'Unit economics'!$I$3)+L40*('Unit economics'!$H$4+'Unit economics'!$I$4)+L41*('Unit economics'!$H$5+'Unit economics'!$I$5)</f>
        <v>4015.91313097019</v>
      </c>
      <c r="M45" s="14" t="n">
        <f aca="false">M38*('Unit economics'!$H$2+'Unit economics'!$I$2)+M39*('Unit economics'!$H$3+'Unit economics'!$I$3)+M40*('Unit economics'!$H$4+'Unit economics'!$I$4)+M41*('Unit economics'!$H$5+'Unit economics'!$I$5)</f>
        <v>4406.81443400563</v>
      </c>
      <c r="N45" s="14" t="n">
        <f aca="false">N38*('Unit economics'!$H$2+'Unit economics'!$I$2)+N39*('Unit economics'!$H$3+'Unit economics'!$I$3)+N40*('Unit economics'!$H$4+'Unit economics'!$I$4)+N41*('Unit economics'!$H$5+'Unit economics'!$I$5)</f>
        <v>4791.85221749555</v>
      </c>
      <c r="O45" s="14" t="n">
        <f aca="false">O38*('Unit economics'!$H$2+'Unit economics'!$I$2)+O39*('Unit economics'!$H$3+'Unit economics'!$I$3)+O40*('Unit economics'!$H$4+'Unit economics'!$I$4)+O41*('Unit economics'!$H$5+'Unit economics'!$I$5)</f>
        <v>5171.11443423311</v>
      </c>
      <c r="P45" s="14" t="n">
        <f aca="false">P38*('Unit economics'!$H$2+'Unit economics'!$I$2)+P39*('Unit economics'!$H$3+'Unit economics'!$I$3)+P40*('Unit economics'!$H$4+'Unit economics'!$I$4)+P41*('Unit economics'!$H$5+'Unit economics'!$I$5)</f>
        <v>5544.68771771962</v>
      </c>
      <c r="Q45" s="14" t="n">
        <f aca="false">Q38*('Unit economics'!$H$2+'Unit economics'!$I$2)+Q39*('Unit economics'!$H$3+'Unit economics'!$I$3)+Q40*('Unit economics'!$H$4+'Unit economics'!$I$4)+Q41*('Unit economics'!$H$5+'Unit economics'!$I$5)</f>
        <v>5912.65740195382</v>
      </c>
      <c r="R45" s="14" t="n">
        <f aca="false">R38*('Unit economics'!$H$2+'Unit economics'!$I$2)+R39*('Unit economics'!$H$3+'Unit economics'!$I$3)+R40*('Unit economics'!$H$4+'Unit economics'!$I$4)+R41*('Unit economics'!$H$5+'Unit economics'!$I$5)</f>
        <v>6275.10754092452</v>
      </c>
      <c r="S45" s="14" t="n">
        <f aca="false">S38*('Unit economics'!$H$2+'Unit economics'!$I$2)+S39*('Unit economics'!$H$3+'Unit economics'!$I$3)+S40*('Unit economics'!$H$4+'Unit economics'!$I$4)+S41*('Unit economics'!$H$5+'Unit economics'!$I$5)</f>
        <v>6632.12092781065</v>
      </c>
      <c r="T45" s="14" t="n">
        <f aca="false">T38*('Unit economics'!$H$2+'Unit economics'!$I$2)+T39*('Unit economics'!$H$3+'Unit economics'!$I$3)+T40*('Unit economics'!$H$4+'Unit economics'!$I$4)+T41*('Unit economics'!$H$5+'Unit economics'!$I$5)</f>
        <v>6983.77911389349</v>
      </c>
      <c r="U45" s="14" t="n">
        <f aca="false">U38*('Unit economics'!$H$2+'Unit economics'!$I$2)+U39*('Unit economics'!$H$3+'Unit economics'!$I$3)+U40*('Unit economics'!$H$4+'Unit economics'!$I$4)+U41*('Unit economics'!$H$5+'Unit economics'!$I$5)</f>
        <v>7330.16242718509</v>
      </c>
      <c r="V45" s="14" t="n">
        <f aca="false">V38*('Unit economics'!$H$2+'Unit economics'!$I$2)+V39*('Unit economics'!$H$3+'Unit economics'!$I$3)+V40*('Unit economics'!$H$4+'Unit economics'!$I$4)+V41*('Unit economics'!$H$5+'Unit economics'!$I$5)</f>
        <v>7671.34999077731</v>
      </c>
      <c r="W45" s="14" t="n">
        <f aca="false">W38*('Unit economics'!$H$2+'Unit economics'!$I$2)+W39*('Unit economics'!$H$3+'Unit economics'!$I$3)+W40*('Unit economics'!$H$4+'Unit economics'!$I$4)+W41*('Unit economics'!$H$5+'Unit economics'!$I$5)</f>
        <v>8007.41974091565</v>
      </c>
      <c r="X45" s="14" t="n">
        <f aca="false">X38*('Unit economics'!$H$2+'Unit economics'!$I$2)+X39*('Unit economics'!$H$3+'Unit economics'!$I$3)+X40*('Unit economics'!$H$4+'Unit economics'!$I$4)+X41*('Unit economics'!$H$5+'Unit economics'!$I$5)</f>
        <v>8338.44844480191</v>
      </c>
      <c r="Y45" s="14" t="n">
        <f aca="false">Y38*('Unit economics'!$H$2+'Unit economics'!$I$2)+Y39*('Unit economics'!$H$3+'Unit economics'!$I$3)+Y40*('Unit economics'!$H$4+'Unit economics'!$I$4)+Y41*('Unit economics'!$H$5+'Unit economics'!$I$5)</f>
        <v>8664.51171812989</v>
      </c>
    </row>
    <row r="46" customFormat="false" ht="15" hidden="false" customHeight="false" outlineLevel="0" collapsed="false">
      <c r="A46" s="0" t="s">
        <v>125</v>
      </c>
      <c r="B46" s="14" t="n">
        <f aca="false">Inputs!$B$10+Inputs!$B$46</f>
        <v>3780</v>
      </c>
      <c r="C46" s="14" t="n">
        <f aca="false">Inputs!$B$10+Inputs!$B$46</f>
        <v>3780</v>
      </c>
      <c r="D46" s="14" t="n">
        <f aca="false">Inputs!$B$10+Inputs!$B$46</f>
        <v>3780</v>
      </c>
      <c r="E46" s="14" t="n">
        <f aca="false">Inputs!$B$10+Inputs!$B$46</f>
        <v>3780</v>
      </c>
      <c r="F46" s="14" t="n">
        <f aca="false">Inputs!$B$10+Inputs!$B$46</f>
        <v>3780</v>
      </c>
      <c r="G46" s="14" t="n">
        <f aca="false">Inputs!$B$10+Inputs!$B$46</f>
        <v>3780</v>
      </c>
      <c r="H46" s="14" t="n">
        <f aca="false">Inputs!$B$10+Inputs!$B$46</f>
        <v>3780</v>
      </c>
      <c r="I46" s="14" t="n">
        <f aca="false">Inputs!$B$10+Inputs!$B$46</f>
        <v>3780</v>
      </c>
      <c r="J46" s="14" t="n">
        <f aca="false">Inputs!$B$10+Inputs!$B$46</f>
        <v>3780</v>
      </c>
      <c r="K46" s="14" t="n">
        <f aca="false">Inputs!$B$10+Inputs!$B$46</f>
        <v>3780</v>
      </c>
      <c r="L46" s="14" t="n">
        <f aca="false">Inputs!$B$10+Inputs!$B$46</f>
        <v>3780</v>
      </c>
      <c r="M46" s="14" t="n">
        <f aca="false">Inputs!$B$10+Inputs!$B$46</f>
        <v>3780</v>
      </c>
      <c r="N46" s="14" t="n">
        <f aca="false">Inputs!$B$10+Inputs!$B$46</f>
        <v>3780</v>
      </c>
      <c r="O46" s="14" t="n">
        <f aca="false">Inputs!$B$10+Inputs!$B$46</f>
        <v>3780</v>
      </c>
      <c r="P46" s="14" t="n">
        <f aca="false">Inputs!$B$10+Inputs!$B$46</f>
        <v>3780</v>
      </c>
      <c r="Q46" s="14" t="n">
        <f aca="false">Inputs!$B$10+Inputs!$B$46</f>
        <v>3780</v>
      </c>
      <c r="R46" s="14" t="n">
        <f aca="false">Inputs!$B$10+Inputs!$B$46</f>
        <v>3780</v>
      </c>
      <c r="S46" s="14" t="n">
        <f aca="false">Inputs!$B$10+Inputs!$B$46</f>
        <v>3780</v>
      </c>
      <c r="T46" s="14" t="n">
        <f aca="false">Inputs!$B$10+Inputs!$B$46</f>
        <v>3780</v>
      </c>
      <c r="U46" s="14" t="n">
        <f aca="false">Inputs!$B$10+Inputs!$B$46</f>
        <v>3780</v>
      </c>
      <c r="V46" s="14" t="n">
        <f aca="false">Inputs!$B$10+Inputs!$B$46</f>
        <v>3780</v>
      </c>
      <c r="W46" s="14" t="n">
        <f aca="false">Inputs!$B$10+Inputs!$B$46</f>
        <v>3780</v>
      </c>
      <c r="X46" s="14" t="n">
        <f aca="false">Inputs!$B$10+Inputs!$B$46</f>
        <v>3780</v>
      </c>
      <c r="Y46" s="14" t="n">
        <f aca="false">Inputs!$B$10+Inputs!$B$46</f>
        <v>3780</v>
      </c>
    </row>
    <row r="47" customFormat="false" ht="15" hidden="false" customHeight="false" outlineLevel="0" collapsed="false">
      <c r="A47" s="0" t="s">
        <v>126</v>
      </c>
      <c r="B47" s="14" t="n">
        <f aca="false">IF(1&gt;=Inputs!$B$54,Inputs!$B$52*Inputs!$B$53*(1+Inputs!$B$47),0)</f>
        <v>0</v>
      </c>
      <c r="C47" s="14" t="n">
        <f aca="false">IF(2&gt;=Inputs!$B$54,Inputs!$B$52*Inputs!$B$53*(1+Inputs!$B$47),0)</f>
        <v>0</v>
      </c>
      <c r="D47" s="14" t="n">
        <f aca="false">IF(3&gt;=Inputs!$B$54,Inputs!$B$52*Inputs!$B$53*(1+Inputs!$B$47),0)</f>
        <v>0</v>
      </c>
      <c r="E47" s="14" t="n">
        <f aca="false">IF(4&gt;=Inputs!$B$54,Inputs!$B$52*Inputs!$B$53*(1+Inputs!$B$47),0)</f>
        <v>0</v>
      </c>
      <c r="F47" s="14" t="n">
        <f aca="false">IF(5&gt;=Inputs!$B$54,Inputs!$B$52*Inputs!$B$53*(1+Inputs!$B$47),0)</f>
        <v>0</v>
      </c>
      <c r="G47" s="14" t="n">
        <f aca="false">IF(6&gt;=Inputs!$B$54,Inputs!$B$52*Inputs!$B$53*(1+Inputs!$B$47),0)</f>
        <v>0</v>
      </c>
      <c r="H47" s="14" t="n">
        <f aca="false">IF(7&gt;=Inputs!$B$54,Inputs!$B$52*Inputs!$B$53*(1+Inputs!$B$47),0)</f>
        <v>0</v>
      </c>
      <c r="I47" s="14" t="n">
        <f aca="false">IF(8&gt;=Inputs!$B$54,Inputs!$B$52*Inputs!$B$53*(1+Inputs!$B$47),0)</f>
        <v>0</v>
      </c>
      <c r="J47" s="14" t="n">
        <f aca="false">IF(9&gt;=Inputs!$B$54,Inputs!$B$52*Inputs!$B$53*(1+Inputs!$B$47),0)</f>
        <v>0</v>
      </c>
      <c r="K47" s="14" t="n">
        <f aca="false">IF(10&gt;=Inputs!$B$54,Inputs!$B$52*Inputs!$B$53*(1+Inputs!$B$47),0)</f>
        <v>0</v>
      </c>
      <c r="L47" s="14" t="n">
        <f aca="false">IF(11&gt;=Inputs!$B$54,Inputs!$B$52*Inputs!$B$53*(1+Inputs!$B$47),0)</f>
        <v>0</v>
      </c>
      <c r="M47" s="14" t="n">
        <f aca="false">IF(12&gt;=Inputs!$B$54,Inputs!$B$52*Inputs!$B$53*(1+Inputs!$B$47),0)</f>
        <v>0</v>
      </c>
      <c r="N47" s="14" t="n">
        <f aca="false">IF(13&gt;=Inputs!$B$54,Inputs!$B$52*Inputs!$B$53*(1+Inputs!$B$47),0)</f>
        <v>21796.2</v>
      </c>
      <c r="O47" s="14" t="n">
        <f aca="false">IF(14&gt;=Inputs!$B$54,Inputs!$B$52*Inputs!$B$53*(1+Inputs!$B$47),0)</f>
        <v>21796.2</v>
      </c>
      <c r="P47" s="14" t="n">
        <f aca="false">IF(15&gt;=Inputs!$B$54,Inputs!$B$52*Inputs!$B$53*(1+Inputs!$B$47),0)</f>
        <v>21796.2</v>
      </c>
      <c r="Q47" s="14" t="n">
        <f aca="false">IF(16&gt;=Inputs!$B$54,Inputs!$B$52*Inputs!$B$53*(1+Inputs!$B$47),0)</f>
        <v>21796.2</v>
      </c>
      <c r="R47" s="14" t="n">
        <f aca="false">IF(17&gt;=Inputs!$B$54,Inputs!$B$52*Inputs!$B$53*(1+Inputs!$B$47),0)</f>
        <v>21796.2</v>
      </c>
      <c r="S47" s="14" t="n">
        <f aca="false">IF(18&gt;=Inputs!$B$54,Inputs!$B$52*Inputs!$B$53*(1+Inputs!$B$47),0)</f>
        <v>21796.2</v>
      </c>
      <c r="T47" s="14" t="n">
        <f aca="false">IF(19&gt;=Inputs!$B$54,Inputs!$B$52*Inputs!$B$53*(1+Inputs!$B$47),0)</f>
        <v>21796.2</v>
      </c>
      <c r="U47" s="14" t="n">
        <f aca="false">IF(20&gt;=Inputs!$B$54,Inputs!$B$52*Inputs!$B$53*(1+Inputs!$B$47),0)</f>
        <v>21796.2</v>
      </c>
      <c r="V47" s="14" t="n">
        <f aca="false">IF(21&gt;=Inputs!$B$54,Inputs!$B$52*Inputs!$B$53*(1+Inputs!$B$47),0)</f>
        <v>21796.2</v>
      </c>
      <c r="W47" s="14" t="n">
        <f aca="false">IF(22&gt;=Inputs!$B$54,Inputs!$B$52*Inputs!$B$53*(1+Inputs!$B$47),0)</f>
        <v>21796.2</v>
      </c>
      <c r="X47" s="14" t="n">
        <f aca="false">IF(23&gt;=Inputs!$B$54,Inputs!$B$52*Inputs!$B$53*(1+Inputs!$B$47),0)</f>
        <v>21796.2</v>
      </c>
      <c r="Y47" s="14" t="n">
        <f aca="false">IF(24&gt;=Inputs!$B$54,Inputs!$B$52*Inputs!$B$53*(1+Inputs!$B$47),0)</f>
        <v>21796.2</v>
      </c>
    </row>
    <row r="48" customFormat="false" ht="15" hidden="false" customHeight="false" outlineLevel="0" collapsed="false">
      <c r="A48" s="0" t="s">
        <v>127</v>
      </c>
      <c r="B48" s="14" t="n">
        <f aca="false">IF(1&gt;=Inputs!$B$56,Inputs!$B$55*(1+Inputs!$B$47),0)+IF(1&gt;=Inputs!$B$58,Inputs!$B$57*(1+Inputs!$B$47),0)</f>
        <v>0</v>
      </c>
      <c r="C48" s="14" t="n">
        <f aca="false">IF(2&gt;=Inputs!$B$56,Inputs!$B$55*(1+Inputs!$B$47),0)+IF(2&gt;=Inputs!$B$58,Inputs!$B$57*(1+Inputs!$B$47),0)</f>
        <v>0</v>
      </c>
      <c r="D48" s="14" t="n">
        <f aca="false">IF(3&gt;=Inputs!$B$56,Inputs!$B$55*(1+Inputs!$B$47),0)+IF(3&gt;=Inputs!$B$58,Inputs!$B$57*(1+Inputs!$B$47),0)</f>
        <v>0</v>
      </c>
      <c r="E48" s="14" t="n">
        <f aca="false">IF(4&gt;=Inputs!$B$56,Inputs!$B$55*(1+Inputs!$B$47),0)+IF(4&gt;=Inputs!$B$58,Inputs!$B$57*(1+Inputs!$B$47),0)</f>
        <v>0</v>
      </c>
      <c r="F48" s="14" t="n">
        <f aca="false">IF(5&gt;=Inputs!$B$56,Inputs!$B$55*(1+Inputs!$B$47),0)+IF(5&gt;=Inputs!$B$58,Inputs!$B$57*(1+Inputs!$B$47),0)</f>
        <v>0</v>
      </c>
      <c r="G48" s="14" t="n">
        <f aca="false">IF(6&gt;=Inputs!$B$56,Inputs!$B$55*(1+Inputs!$B$47),0)+IF(6&gt;=Inputs!$B$58,Inputs!$B$57*(1+Inputs!$B$47),0)</f>
        <v>0</v>
      </c>
      <c r="H48" s="14" t="n">
        <f aca="false">IF(7&gt;=Inputs!$B$56,Inputs!$B$55*(1+Inputs!$B$47),0)+IF(7&gt;=Inputs!$B$58,Inputs!$B$57*(1+Inputs!$B$47),0)</f>
        <v>0</v>
      </c>
      <c r="I48" s="14" t="n">
        <f aca="false">IF(8&gt;=Inputs!$B$56,Inputs!$B$55*(1+Inputs!$B$47),0)+IF(8&gt;=Inputs!$B$58,Inputs!$B$57*(1+Inputs!$B$47),0)</f>
        <v>0</v>
      </c>
      <c r="J48" s="14" t="n">
        <f aca="false">IF(9&gt;=Inputs!$B$56,Inputs!$B$55*(1+Inputs!$B$47),0)+IF(9&gt;=Inputs!$B$58,Inputs!$B$57*(1+Inputs!$B$47),0)</f>
        <v>0</v>
      </c>
      <c r="K48" s="14" t="n">
        <f aca="false">IF(10&gt;=Inputs!$B$56,Inputs!$B$55*(1+Inputs!$B$47),0)+IF(10&gt;=Inputs!$B$58,Inputs!$B$57*(1+Inputs!$B$47),0)</f>
        <v>0</v>
      </c>
      <c r="L48" s="14" t="n">
        <f aca="false">IF(11&gt;=Inputs!$B$56,Inputs!$B$55*(1+Inputs!$B$47),0)+IF(11&gt;=Inputs!$B$58,Inputs!$B$57*(1+Inputs!$B$47),0)</f>
        <v>0</v>
      </c>
      <c r="M48" s="14" t="n">
        <f aca="false">IF(12&gt;=Inputs!$B$56,Inputs!$B$55*(1+Inputs!$B$47),0)+IF(12&gt;=Inputs!$B$58,Inputs!$B$57*(1+Inputs!$B$47),0)</f>
        <v>0</v>
      </c>
      <c r="N48" s="14" t="n">
        <f aca="false">IF(13&gt;=Inputs!$B$56,Inputs!$B$55*(1+Inputs!$B$47),0)+IF(13&gt;=Inputs!$B$58,Inputs!$B$57*(1+Inputs!$B$47),0)</f>
        <v>0</v>
      </c>
      <c r="O48" s="14" t="n">
        <f aca="false">IF(14&gt;=Inputs!$B$56,Inputs!$B$55*(1+Inputs!$B$47),0)+IF(14&gt;=Inputs!$B$58,Inputs!$B$57*(1+Inputs!$B$47),0)</f>
        <v>0</v>
      </c>
      <c r="P48" s="14" t="n">
        <f aca="false">IF(15&gt;=Inputs!$B$56,Inputs!$B$55*(1+Inputs!$B$47),0)+IF(15&gt;=Inputs!$B$58,Inputs!$B$57*(1+Inputs!$B$47),0)</f>
        <v>0</v>
      </c>
      <c r="Q48" s="14" t="n">
        <f aca="false">IF(16&gt;=Inputs!$B$56,Inputs!$B$55*(1+Inputs!$B$47),0)+IF(16&gt;=Inputs!$B$58,Inputs!$B$57*(1+Inputs!$B$47),0)</f>
        <v>0</v>
      </c>
      <c r="R48" s="14" t="n">
        <f aca="false">IF(17&gt;=Inputs!$B$56,Inputs!$B$55*(1+Inputs!$B$47),0)+IF(17&gt;=Inputs!$B$58,Inputs!$B$57*(1+Inputs!$B$47),0)</f>
        <v>0</v>
      </c>
      <c r="S48" s="14" t="n">
        <f aca="false">IF(18&gt;=Inputs!$B$56,Inputs!$B$55*(1+Inputs!$B$47),0)+IF(18&gt;=Inputs!$B$58,Inputs!$B$57*(1+Inputs!$B$47),0)</f>
        <v>0</v>
      </c>
      <c r="T48" s="14" t="n">
        <f aca="false">IF(19&gt;=Inputs!$B$56,Inputs!$B$55*(1+Inputs!$B$47),0)+IF(19&gt;=Inputs!$B$58,Inputs!$B$57*(1+Inputs!$B$47),0)</f>
        <v>7265.4</v>
      </c>
      <c r="U48" s="14" t="n">
        <f aca="false">IF(20&gt;=Inputs!$B$56,Inputs!$B$55*(1+Inputs!$B$47),0)+IF(20&gt;=Inputs!$B$58,Inputs!$B$57*(1+Inputs!$B$47),0)</f>
        <v>7265.4</v>
      </c>
      <c r="V48" s="14" t="n">
        <f aca="false">IF(21&gt;=Inputs!$B$56,Inputs!$B$55*(1+Inputs!$B$47),0)+IF(21&gt;=Inputs!$B$58,Inputs!$B$57*(1+Inputs!$B$47),0)</f>
        <v>7265.4</v>
      </c>
      <c r="W48" s="14" t="n">
        <f aca="false">IF(22&gt;=Inputs!$B$56,Inputs!$B$55*(1+Inputs!$B$47),0)+IF(22&gt;=Inputs!$B$58,Inputs!$B$57*(1+Inputs!$B$47),0)</f>
        <v>7265.4</v>
      </c>
      <c r="X48" s="14" t="n">
        <f aca="false">IF(23&gt;=Inputs!$B$56,Inputs!$B$55*(1+Inputs!$B$47),0)+IF(23&gt;=Inputs!$B$58,Inputs!$B$57*(1+Inputs!$B$47),0)</f>
        <v>7265.4</v>
      </c>
      <c r="Y48" s="14" t="n">
        <f aca="false">IF(24&gt;=Inputs!$B$56,Inputs!$B$55*(1+Inputs!$B$47),0)+IF(24&gt;=Inputs!$B$58,Inputs!$B$57*(1+Inputs!$B$47),0)</f>
        <v>7265.4</v>
      </c>
    </row>
    <row r="49" customFormat="false" ht="15" hidden="false" customHeight="false" outlineLevel="0" collapsed="false">
      <c r="A49" s="0" t="s">
        <v>128</v>
      </c>
      <c r="B49" s="14" t="n">
        <f aca="false">IF(1&gt;=Inputs!$B$60,Inputs!$B$59,0)</f>
        <v>0</v>
      </c>
      <c r="C49" s="14" t="n">
        <f aca="false">IF(2&gt;=Inputs!$B$60,Inputs!$B$59,0)</f>
        <v>0</v>
      </c>
      <c r="D49" s="14" t="n">
        <f aca="false">IF(3&gt;=Inputs!$B$60,Inputs!$B$59,0)</f>
        <v>0</v>
      </c>
      <c r="E49" s="14" t="n">
        <f aca="false">IF(4&gt;=Inputs!$B$60,Inputs!$B$59,0)</f>
        <v>0</v>
      </c>
      <c r="F49" s="14" t="n">
        <f aca="false">IF(5&gt;=Inputs!$B$60,Inputs!$B$59,0)</f>
        <v>0</v>
      </c>
      <c r="G49" s="14" t="n">
        <f aca="false">IF(6&gt;=Inputs!$B$60,Inputs!$B$59,0)</f>
        <v>0</v>
      </c>
      <c r="H49" s="14" t="n">
        <f aca="false">IF(7&gt;=Inputs!$B$60,Inputs!$B$59,0)</f>
        <v>0</v>
      </c>
      <c r="I49" s="14" t="n">
        <f aca="false">IF(8&gt;=Inputs!$B$60,Inputs!$B$59,0)</f>
        <v>0</v>
      </c>
      <c r="J49" s="14" t="n">
        <f aca="false">IF(9&gt;=Inputs!$B$60,Inputs!$B$59,0)</f>
        <v>0</v>
      </c>
      <c r="K49" s="14" t="n">
        <f aca="false">IF(10&gt;=Inputs!$B$60,Inputs!$B$59,0)</f>
        <v>0</v>
      </c>
      <c r="L49" s="14" t="n">
        <f aca="false">IF(11&gt;=Inputs!$B$60,Inputs!$B$59,0)</f>
        <v>0</v>
      </c>
      <c r="M49" s="14" t="n">
        <f aca="false">IF(12&gt;=Inputs!$B$60,Inputs!$B$59,0)</f>
        <v>0</v>
      </c>
      <c r="N49" s="14" t="n">
        <f aca="false">IF(13&gt;=Inputs!$B$60,Inputs!$B$59,0)</f>
        <v>0</v>
      </c>
      <c r="O49" s="14" t="n">
        <f aca="false">IF(14&gt;=Inputs!$B$60,Inputs!$B$59,0)</f>
        <v>0</v>
      </c>
      <c r="P49" s="14" t="n">
        <f aca="false">IF(15&gt;=Inputs!$B$60,Inputs!$B$59,0)</f>
        <v>0</v>
      </c>
      <c r="Q49" s="14" t="n">
        <f aca="false">IF(16&gt;=Inputs!$B$60,Inputs!$B$59,0)</f>
        <v>0</v>
      </c>
      <c r="R49" s="14" t="n">
        <f aca="false">IF(17&gt;=Inputs!$B$60,Inputs!$B$59,0)</f>
        <v>0</v>
      </c>
      <c r="S49" s="14" t="n">
        <f aca="false">IF(18&gt;=Inputs!$B$60,Inputs!$B$59,0)</f>
        <v>0</v>
      </c>
      <c r="T49" s="14" t="n">
        <f aca="false">IF(19&gt;=Inputs!$B$60,Inputs!$B$59,0)</f>
        <v>0</v>
      </c>
      <c r="U49" s="14" t="n">
        <f aca="false">IF(20&gt;=Inputs!$B$60,Inputs!$B$59,0)</f>
        <v>0</v>
      </c>
      <c r="V49" s="14" t="n">
        <f aca="false">IF(21&gt;=Inputs!$B$60,Inputs!$B$59,0)</f>
        <v>0</v>
      </c>
      <c r="W49" s="14" t="n">
        <f aca="false">IF(22&gt;=Inputs!$B$60,Inputs!$B$59,0)</f>
        <v>0</v>
      </c>
      <c r="X49" s="14" t="n">
        <f aca="false">IF(23&gt;=Inputs!$B$60,Inputs!$B$59,0)</f>
        <v>0</v>
      </c>
      <c r="Y49" s="14" t="n">
        <f aca="false">IF(24&gt;=Inputs!$B$60,Inputs!$B$59,0)</f>
        <v>0</v>
      </c>
    </row>
    <row r="50" customFormat="false" ht="15" hidden="false" customHeight="false" outlineLevel="0" collapsed="false">
      <c r="A50" s="3" t="s">
        <v>129</v>
      </c>
      <c r="B50" s="14" t="n">
        <f aca="false">B44-B45-B46-B47-B48-B49</f>
        <v>-2806.40333333333</v>
      </c>
      <c r="C50" s="14" t="n">
        <f aca="false">C44-C45-C46-C47-C48-C49</f>
        <v>-1847.41061666667</v>
      </c>
      <c r="D50" s="14" t="n">
        <f aca="false">D44-D45-D46-D47-D48-D49</f>
        <v>-902.80279075</v>
      </c>
      <c r="E50" s="14" t="n">
        <f aca="false">E44-E45-E46-E47-E48-E49</f>
        <v>1001.23258444458</v>
      </c>
      <c r="F50" s="14" t="n">
        <f aca="false">F44-F45-F46-F47-F48-F49</f>
        <v>2876.70742901125</v>
      </c>
      <c r="G50" s="14" t="n">
        <f aca="false">G44-G45-G46-G47-G48-G49</f>
        <v>4724.05015090941</v>
      </c>
      <c r="H50" s="14" t="n">
        <f aca="false">H44-H45-H46-H47-H48-H49</f>
        <v>6543.68273197911</v>
      </c>
      <c r="I50" s="14" t="n">
        <f aca="false">I44-I45-I46-I47-I48-I49</f>
        <v>8336.02082433275</v>
      </c>
      <c r="J50" s="14" t="n">
        <f aca="false">J44-J45-J46-J47-J48-J49</f>
        <v>10101.4738453011</v>
      </c>
      <c r="K50" s="14" t="n">
        <f aca="false">K44-K45-K46-K47-K48-K49</f>
        <v>11840.4450709549</v>
      </c>
      <c r="L50" s="14" t="n">
        <f aca="false">L44-L45-L46-L47-L48-L49</f>
        <v>13553.3317282239</v>
      </c>
      <c r="M50" s="14" t="n">
        <f aca="false">M44-M45-M46-M47-M48-M49</f>
        <v>15240.5250856339</v>
      </c>
      <c r="N50" s="14" t="n">
        <f aca="false">N44-N45-N46-N47-N48-N49</f>
        <v>-4893.78945731729</v>
      </c>
      <c r="O50" s="14" t="n">
        <f aca="false">O44-O45-O46-O47-O48-O49</f>
        <v>-3256.83228212419</v>
      </c>
      <c r="P50" s="14" t="n">
        <f aca="false">P44-P45-P46-P47-P48-P49</f>
        <v>-1644.42946455899</v>
      </c>
      <c r="Q50" s="14" t="n">
        <f aca="false">Q44-Q45-Q46-Q47-Q48-Q49</f>
        <v>-56.2126892572815</v>
      </c>
      <c r="R50" s="14" t="n">
        <f aca="false">R44-R45-R46-R47-R48-R49</f>
        <v>1508.18083441491</v>
      </c>
      <c r="S50" s="14" t="n">
        <f aca="false">S44-S45-S46-S47-S48-S49</f>
        <v>3049.10845523203</v>
      </c>
      <c r="T50" s="14" t="n">
        <f aca="false">T44-T45-T46-T47-T48-T49</f>
        <v>-2698.47783826313</v>
      </c>
      <c r="U50" s="14" t="n">
        <f aca="false">U44-U45-U46-U47-U48-U49</f>
        <v>-1203.43133735585</v>
      </c>
      <c r="V50" s="14" t="n">
        <f aca="false">V44-V45-V46-V47-V48-V49</f>
        <v>269.189466037821</v>
      </c>
      <c r="W50" s="14" t="n">
        <f aca="false">W44-W45-W46-W47-W48-W49</f>
        <v>1719.72095738059</v>
      </c>
      <c r="X50" s="14" t="n">
        <f aca="false">X44-X45-X46-X47-X48-X49</f>
        <v>3148.49447635322</v>
      </c>
      <c r="Y50" s="14" t="n">
        <f aca="false">Y44-Y45-Y46-Y47-Y48-Y49</f>
        <v>4555.83639254125</v>
      </c>
    </row>
    <row r="51" customFormat="false" ht="15" hidden="false" customHeight="false" outlineLevel="0" collapsed="false">
      <c r="A51" s="0" t="s">
        <v>130</v>
      </c>
      <c r="B51" s="14" t="n">
        <f aca="false">MAX(B50*Inputs!$B$48,MAX(B44*Inputs!$B$49,250))</f>
        <v>250</v>
      </c>
      <c r="C51" s="14" t="n">
        <f aca="false">MAX(C50*Inputs!$B$48,MAX(C44*Inputs!$B$49,250))</f>
        <v>250</v>
      </c>
      <c r="D51" s="14" t="n">
        <f aca="false">MAX(D50*Inputs!$B$48,MAX(D44*Inputs!$B$49,250))</f>
        <v>250</v>
      </c>
      <c r="E51" s="14" t="n">
        <f aca="false">MAX(E50*Inputs!$B$48,MAX(E44*Inputs!$B$49,250))</f>
        <v>250</v>
      </c>
      <c r="F51" s="14" t="n">
        <f aca="false">MAX(F50*Inputs!$B$48,MAX(F44*Inputs!$B$49,250))</f>
        <v>575.34148580225</v>
      </c>
      <c r="G51" s="14" t="n">
        <f aca="false">MAX(G50*Inputs!$B$48,MAX(G44*Inputs!$B$49,250))</f>
        <v>944.810030181882</v>
      </c>
      <c r="H51" s="14" t="n">
        <f aca="false">MAX(H50*Inputs!$B$48,MAX(H44*Inputs!$B$49,250))</f>
        <v>1308.73654639582</v>
      </c>
      <c r="I51" s="14" t="n">
        <f aca="false">MAX(I50*Inputs!$B$48,MAX(I44*Inputs!$B$49,250))</f>
        <v>1667.20416486655</v>
      </c>
      <c r="J51" s="14" t="n">
        <f aca="false">MAX(J50*Inputs!$B$48,MAX(J44*Inputs!$B$49,250))</f>
        <v>2020.29476906022</v>
      </c>
      <c r="K51" s="14" t="n">
        <f aca="false">MAX(K50*Inputs!$B$48,MAX(K44*Inputs!$B$49,250))</f>
        <v>2368.08901419098</v>
      </c>
      <c r="L51" s="14" t="n">
        <f aca="false">MAX(L50*Inputs!$B$48,MAX(L44*Inputs!$B$49,250))</f>
        <v>2710.66634564478</v>
      </c>
      <c r="M51" s="14" t="n">
        <f aca="false">MAX(M50*Inputs!$B$48,MAX(M44*Inputs!$B$49,250))</f>
        <v>3048.10501712678</v>
      </c>
      <c r="N51" s="14" t="n">
        <f aca="false">MAX(N50*Inputs!$B$48,MAX(N44*Inputs!$B$49,250))</f>
        <v>250</v>
      </c>
      <c r="O51" s="14" t="n">
        <f aca="false">MAX(O50*Inputs!$B$48,MAX(O44*Inputs!$B$49,250))</f>
        <v>250</v>
      </c>
      <c r="P51" s="14" t="n">
        <f aca="false">MAX(P50*Inputs!$B$48,MAX(P44*Inputs!$B$49,250))</f>
        <v>250</v>
      </c>
      <c r="Q51" s="14" t="n">
        <f aca="false">MAX(Q50*Inputs!$B$48,MAX(Q44*Inputs!$B$49,250))</f>
        <v>250</v>
      </c>
      <c r="R51" s="14" t="n">
        <f aca="false">MAX(R50*Inputs!$B$48,MAX(R44*Inputs!$B$49,250))</f>
        <v>301.636166882983</v>
      </c>
      <c r="S51" s="14" t="n">
        <f aca="false">MAX(S50*Inputs!$B$48,MAX(S44*Inputs!$B$49,250))</f>
        <v>609.821691046406</v>
      </c>
      <c r="T51" s="14" t="n">
        <f aca="false">MAX(T50*Inputs!$B$48,MAX(T44*Inputs!$B$49,250))</f>
        <v>250</v>
      </c>
      <c r="U51" s="14" t="n">
        <f aca="false">MAX(U50*Inputs!$B$48,MAX(U44*Inputs!$B$49,250))</f>
        <v>250</v>
      </c>
      <c r="V51" s="14" t="n">
        <f aca="false">MAX(V50*Inputs!$B$48,MAX(V44*Inputs!$B$49,250))</f>
        <v>250</v>
      </c>
      <c r="W51" s="14" t="n">
        <f aca="false">MAX(W50*Inputs!$B$48,MAX(W44*Inputs!$B$49,250))</f>
        <v>343.944191476119</v>
      </c>
      <c r="X51" s="14" t="n">
        <f aca="false">MAX(X50*Inputs!$B$48,MAX(X44*Inputs!$B$49,250))</f>
        <v>629.698895270643</v>
      </c>
      <c r="Y51" s="14" t="n">
        <f aca="false">MAX(Y50*Inputs!$B$48,MAX(Y44*Inputs!$B$49,250))</f>
        <v>911.167278508251</v>
      </c>
    </row>
    <row r="52" customFormat="false" ht="15" hidden="false" customHeight="false" outlineLevel="0" collapsed="false">
      <c r="A52" s="3" t="s">
        <v>131</v>
      </c>
      <c r="B52" s="14" t="n">
        <f aca="false">B50-B51</f>
        <v>-3056.40333333333</v>
      </c>
      <c r="C52" s="14" t="n">
        <f aca="false">C50-C51</f>
        <v>-2097.41061666667</v>
      </c>
      <c r="D52" s="14" t="n">
        <f aca="false">D50-D51</f>
        <v>-1152.80279075</v>
      </c>
      <c r="E52" s="14" t="n">
        <f aca="false">E50-E51</f>
        <v>751.232584444582</v>
      </c>
      <c r="F52" s="14" t="n">
        <f aca="false">F50-F51</f>
        <v>2301.365943209</v>
      </c>
      <c r="G52" s="14" t="n">
        <f aca="false">G50-G51</f>
        <v>3779.24012072753</v>
      </c>
      <c r="H52" s="14" t="n">
        <f aca="false">H50-H51</f>
        <v>5234.94618558328</v>
      </c>
      <c r="I52" s="14" t="n">
        <f aca="false">I50-I51</f>
        <v>6668.8166594662</v>
      </c>
      <c r="J52" s="14" t="n">
        <f aca="false">J50-J51</f>
        <v>8081.17907624088</v>
      </c>
      <c r="K52" s="14" t="n">
        <f aca="false">K50-K51</f>
        <v>9472.35605676393</v>
      </c>
      <c r="L52" s="14" t="n">
        <f aca="false">L50-L51</f>
        <v>10842.6653825791</v>
      </c>
      <c r="M52" s="14" t="n">
        <f aca="false">M50-M51</f>
        <v>12192.4200685071</v>
      </c>
      <c r="N52" s="14" t="n">
        <f aca="false">N50-N51</f>
        <v>-5143.78945731729</v>
      </c>
      <c r="O52" s="14" t="n">
        <f aca="false">O50-O51</f>
        <v>-3506.83228212419</v>
      </c>
      <c r="P52" s="14" t="n">
        <f aca="false">P50-P51</f>
        <v>-1894.42946455899</v>
      </c>
      <c r="Q52" s="14" t="n">
        <f aca="false">Q50-Q51</f>
        <v>-306.212689257281</v>
      </c>
      <c r="R52" s="14" t="n">
        <f aca="false">R50-R51</f>
        <v>1206.54466753193</v>
      </c>
      <c r="S52" s="14" t="n">
        <f aca="false">S50-S51</f>
        <v>2439.28676418562</v>
      </c>
      <c r="T52" s="14" t="n">
        <f aca="false">T50-T51</f>
        <v>-2948.47783826313</v>
      </c>
      <c r="U52" s="14" t="n">
        <f aca="false">U50-U51</f>
        <v>-1453.43133735585</v>
      </c>
      <c r="V52" s="14" t="n">
        <f aca="false">V50-V51</f>
        <v>19.1894660378212</v>
      </c>
      <c r="W52" s="14" t="n">
        <f aca="false">W50-W51</f>
        <v>1375.77676590447</v>
      </c>
      <c r="X52" s="14" t="n">
        <f aca="false">X50-X51</f>
        <v>2518.79558108257</v>
      </c>
      <c r="Y52" s="14" t="n">
        <f aca="false">Y50-Y51</f>
        <v>3644.669114033</v>
      </c>
    </row>
    <row r="53" customFormat="false" ht="15" hidden="false" customHeight="false" outlineLevel="0" collapsed="false">
      <c r="A53" s="3" t="s">
        <v>132</v>
      </c>
      <c r="B53" s="14" t="n">
        <f aca="false">B52</f>
        <v>-3056.40333333333</v>
      </c>
      <c r="C53" s="14" t="n">
        <f aca="false">B53+C52</f>
        <v>-5153.81395</v>
      </c>
      <c r="D53" s="14" t="n">
        <f aca="false">C53+D52</f>
        <v>-6306.61674075</v>
      </c>
      <c r="E53" s="14" t="n">
        <f aca="false">D53+E52</f>
        <v>-5555.38415630542</v>
      </c>
      <c r="F53" s="14" t="n">
        <f aca="false">E53+F52</f>
        <v>-3254.01821309642</v>
      </c>
      <c r="G53" s="14" t="n">
        <f aca="false">F53+G52</f>
        <v>525.221907631112</v>
      </c>
      <c r="H53" s="14" t="n">
        <f aca="false">G53+H52</f>
        <v>5760.1680932144</v>
      </c>
      <c r="I53" s="14" t="n">
        <f aca="false">H53+I52</f>
        <v>12428.9847526806</v>
      </c>
      <c r="J53" s="14" t="n">
        <f aca="false">I53+J52</f>
        <v>20510.1638289215</v>
      </c>
      <c r="K53" s="14" t="n">
        <f aca="false">J53+K52</f>
        <v>29982.5198856854</v>
      </c>
      <c r="L53" s="14" t="n">
        <f aca="false">K53+L52</f>
        <v>40825.1852682645</v>
      </c>
      <c r="M53" s="14" t="n">
        <f aca="false">L53+M52</f>
        <v>53017.6053367717</v>
      </c>
      <c r="N53" s="14" t="n">
        <f aca="false">M53+N52</f>
        <v>47873.8158794544</v>
      </c>
      <c r="O53" s="14" t="n">
        <f aca="false">N53+O52</f>
        <v>44366.9835973302</v>
      </c>
      <c r="P53" s="14" t="n">
        <f aca="false">O53+P52</f>
        <v>42472.5541327712</v>
      </c>
      <c r="Q53" s="14" t="n">
        <f aca="false">P53+Q52</f>
        <v>42166.3414435139</v>
      </c>
      <c r="R53" s="14" t="n">
        <f aca="false">Q53+R52</f>
        <v>43372.8861110458</v>
      </c>
      <c r="S53" s="14" t="n">
        <f aca="false">R53+S52</f>
        <v>45812.1728752315</v>
      </c>
      <c r="T53" s="14" t="n">
        <f aca="false">S53+T52</f>
        <v>42863.6950369683</v>
      </c>
      <c r="U53" s="14" t="n">
        <f aca="false">T53+U52</f>
        <v>41410.2636996125</v>
      </c>
      <c r="V53" s="14" t="n">
        <f aca="false">U53+V52</f>
        <v>41429.4531656503</v>
      </c>
      <c r="W53" s="14" t="n">
        <f aca="false">V53+W52</f>
        <v>42805.2299315548</v>
      </c>
      <c r="X53" s="14" t="n">
        <f aca="false">W53+X52</f>
        <v>45324.0255126374</v>
      </c>
      <c r="Y53" s="14" t="n">
        <f aca="false">X53+Y52</f>
        <v>48968.6946266704</v>
      </c>
    </row>
    <row r="56" customFormat="false" ht="15" hidden="false" customHeight="false" outlineLevel="0" collapsed="false">
      <c r="A56" s="20" t="s">
        <v>134</v>
      </c>
    </row>
    <row r="57" customFormat="false" ht="15" hidden="false" customHeight="false" outlineLevel="0" collapsed="false">
      <c r="A57" s="0" t="s">
        <v>110</v>
      </c>
      <c r="B57" s="21" t="n">
        <v>1</v>
      </c>
    </row>
    <row r="58" customFormat="false" ht="15" hidden="false" customHeight="false" outlineLevel="0" collapsed="false">
      <c r="A58" s="0" t="s">
        <v>111</v>
      </c>
      <c r="B58" s="21" t="n">
        <v>2</v>
      </c>
    </row>
    <row r="59" customFormat="false" ht="15" hidden="false" customHeight="false" outlineLevel="0" collapsed="false">
      <c r="A59" s="0" t="s">
        <v>112</v>
      </c>
      <c r="B59" s="21" t="n">
        <v>0.5</v>
      </c>
    </row>
    <row r="60" customFormat="false" ht="15" hidden="false" customHeight="false" outlineLevel="0" collapsed="false">
      <c r="A60" s="0" t="s">
        <v>113</v>
      </c>
      <c r="B60" s="21" t="n">
        <v>0.6</v>
      </c>
    </row>
    <row r="61" customFormat="false" ht="15" hidden="false" customHeight="false" outlineLevel="0" collapsed="false">
      <c r="A61" s="0" t="s">
        <v>114</v>
      </c>
      <c r="B61" s="8" t="n">
        <v>0.01</v>
      </c>
    </row>
    <row r="62" customFormat="false" ht="15" hidden="false" customHeight="false" outlineLevel="0" collapsed="false">
      <c r="A62" s="2" t="s">
        <v>115</v>
      </c>
    </row>
    <row r="63" customFormat="false" ht="15" hidden="false" customHeight="false" outlineLevel="0" collapsed="false">
      <c r="A63" s="3" t="s">
        <v>116</v>
      </c>
      <c r="B63" s="22" t="n">
        <v>1</v>
      </c>
      <c r="C63" s="22" t="n">
        <v>2</v>
      </c>
      <c r="D63" s="22" t="n">
        <v>3</v>
      </c>
      <c r="E63" s="22" t="n">
        <v>4</v>
      </c>
      <c r="F63" s="22" t="n">
        <v>5</v>
      </c>
      <c r="G63" s="22" t="n">
        <v>6</v>
      </c>
      <c r="H63" s="22" t="n">
        <v>7</v>
      </c>
      <c r="I63" s="22" t="n">
        <v>8</v>
      </c>
      <c r="J63" s="22" t="n">
        <v>9</v>
      </c>
      <c r="K63" s="22" t="n">
        <v>10</v>
      </c>
      <c r="L63" s="22" t="n">
        <v>11</v>
      </c>
      <c r="M63" s="22" t="n">
        <v>12</v>
      </c>
      <c r="N63" s="22" t="n">
        <v>13</v>
      </c>
      <c r="O63" s="22" t="n">
        <v>14</v>
      </c>
      <c r="P63" s="22" t="n">
        <v>15</v>
      </c>
      <c r="Q63" s="22" t="n">
        <v>16</v>
      </c>
      <c r="R63" s="22" t="n">
        <v>17</v>
      </c>
      <c r="S63" s="22" t="n">
        <v>18</v>
      </c>
      <c r="T63" s="22" t="n">
        <v>19</v>
      </c>
      <c r="U63" s="22" t="n">
        <v>20</v>
      </c>
      <c r="V63" s="22" t="n">
        <v>21</v>
      </c>
      <c r="W63" s="22" t="n">
        <v>22</v>
      </c>
      <c r="X63" s="22" t="n">
        <v>23</v>
      </c>
      <c r="Y63" s="22" t="n">
        <v>24</v>
      </c>
    </row>
    <row r="64" customFormat="false" ht="15" hidden="false" customHeight="false" outlineLevel="0" collapsed="false">
      <c r="A64" s="0" t="s">
        <v>117</v>
      </c>
      <c r="B64" s="18" t="n">
        <f aca="false">$B$57*IF(1&lt;=3,0.5,1)</f>
        <v>0.5</v>
      </c>
      <c r="C64" s="18" t="n">
        <f aca="false">B64*(1-$B$61)+$B$57*IF(2&lt;=3,0.5,1)</f>
        <v>0.995</v>
      </c>
      <c r="D64" s="18" t="n">
        <f aca="false">C64*(1-$B$61)+$B$57*IF(3&lt;=3,0.5,1)</f>
        <v>1.48505</v>
      </c>
      <c r="E64" s="18" t="n">
        <f aca="false">D64*(1-$B$61)+$B$57*IF(4&lt;=3,0.5,1)</f>
        <v>2.4701995</v>
      </c>
      <c r="F64" s="18" t="n">
        <f aca="false">E64*(1-$B$61)+$B$57*IF(5&lt;=3,0.5,1)</f>
        <v>3.445497505</v>
      </c>
      <c r="G64" s="18" t="n">
        <f aca="false">F64*(1-$B$61)+$B$57*IF(6&lt;=3,0.5,1)</f>
        <v>4.41104252995</v>
      </c>
      <c r="H64" s="18" t="n">
        <f aca="false">G64*(1-$B$61)+$B$57*IF(7&lt;=3,0.5,1)</f>
        <v>5.3669321046505</v>
      </c>
      <c r="I64" s="18" t="n">
        <f aca="false">H64*(1-$B$61)+$B$57*IF(8&lt;=3,0.5,1)</f>
        <v>6.31326278360399</v>
      </c>
      <c r="J64" s="18" t="n">
        <f aca="false">I64*(1-$B$61)+$B$57*IF(9&lt;=3,0.5,1)</f>
        <v>7.25013015576795</v>
      </c>
      <c r="K64" s="18" t="n">
        <f aca="false">J64*(1-$B$61)+$B$57*IF(10&lt;=3,0.5,1)</f>
        <v>8.17762885421028</v>
      </c>
      <c r="L64" s="18" t="n">
        <f aca="false">K64*(1-$B$61)+$B$57*IF(11&lt;=3,0.5,1)</f>
        <v>9.09585256566817</v>
      </c>
      <c r="M64" s="18" t="n">
        <f aca="false">L64*(1-$B$61)+$B$57*IF(12&lt;=3,0.5,1)</f>
        <v>10.0048940400115</v>
      </c>
      <c r="N64" s="18" t="n">
        <f aca="false">M64*(1-$B$61)+$B$57*IF(13&lt;=3,0.5,1)</f>
        <v>10.9048450996114</v>
      </c>
      <c r="O64" s="18" t="n">
        <f aca="false">N64*(1-$B$61)+$B$57*IF(14&lt;=3,0.5,1)</f>
        <v>11.7957966486153</v>
      </c>
      <c r="P64" s="18" t="n">
        <f aca="false">O64*(1-$B$61)+$B$57*IF(15&lt;=3,0.5,1)</f>
        <v>12.6778386821291</v>
      </c>
      <c r="Q64" s="18" t="n">
        <f aca="false">P64*(1-$B$61)+$B$57*IF(16&lt;=3,0.5,1)</f>
        <v>13.5510602953078</v>
      </c>
      <c r="R64" s="18" t="n">
        <f aca="false">Q64*(1-$B$61)+$B$57*IF(17&lt;=3,0.5,1)</f>
        <v>14.4155496923547</v>
      </c>
      <c r="S64" s="18" t="n">
        <f aca="false">R64*(1-$B$61)+$B$57*IF(18&lt;=3,0.5,1)</f>
        <v>15.2713941954312</v>
      </c>
      <c r="T64" s="18" t="n">
        <f aca="false">S64*(1-$B$61)+$B$57*IF(19&lt;=3,0.5,1)</f>
        <v>16.1186802534769</v>
      </c>
      <c r="U64" s="18" t="n">
        <f aca="false">T64*(1-$B$61)+$B$57*IF(20&lt;=3,0.5,1)</f>
        <v>16.9574934509421</v>
      </c>
      <c r="V64" s="18" t="n">
        <f aca="false">U64*(1-$B$61)+$B$57*IF(21&lt;=3,0.5,1)</f>
        <v>17.7879185164327</v>
      </c>
      <c r="W64" s="18" t="n">
        <f aca="false">V64*(1-$B$61)+$B$57*IF(22&lt;=3,0.5,1)</f>
        <v>18.6100393312684</v>
      </c>
      <c r="X64" s="18" t="n">
        <f aca="false">W64*(1-$B$61)+$B$57*IF(23&lt;=3,0.5,1)</f>
        <v>19.4239389379557</v>
      </c>
      <c r="Y64" s="18" t="n">
        <f aca="false">X64*(1-$B$61)+$B$57*IF(24&lt;=3,0.5,1)</f>
        <v>20.2296995485761</v>
      </c>
    </row>
    <row r="65" customFormat="false" ht="15" hidden="false" customHeight="false" outlineLevel="0" collapsed="false">
      <c r="A65" s="0" t="s">
        <v>118</v>
      </c>
      <c r="B65" s="18" t="n">
        <f aca="false">$B$58*IF(1&lt;=3,0.5,1)</f>
        <v>1</v>
      </c>
      <c r="C65" s="18" t="n">
        <f aca="false">B65*(1-$B$61)+$B$58*IF(2&lt;=3,0.5,1)</f>
        <v>1.99</v>
      </c>
      <c r="D65" s="18" t="n">
        <f aca="false">C65*(1-$B$61)+$B$58*IF(3&lt;=3,0.5,1)</f>
        <v>2.9701</v>
      </c>
      <c r="E65" s="18" t="n">
        <f aca="false">D65*(1-$B$61)+$B$58*IF(4&lt;=3,0.5,1)</f>
        <v>4.940399</v>
      </c>
      <c r="F65" s="18" t="n">
        <f aca="false">E65*(1-$B$61)+$B$58*IF(5&lt;=3,0.5,1)</f>
        <v>6.89099501</v>
      </c>
      <c r="G65" s="18" t="n">
        <f aca="false">F65*(1-$B$61)+$B$58*IF(6&lt;=3,0.5,1)</f>
        <v>8.8220850599</v>
      </c>
      <c r="H65" s="18" t="n">
        <f aca="false">G65*(1-$B$61)+$B$58*IF(7&lt;=3,0.5,1)</f>
        <v>10.733864209301</v>
      </c>
      <c r="I65" s="18" t="n">
        <f aca="false">H65*(1-$B$61)+$B$58*IF(8&lt;=3,0.5,1)</f>
        <v>12.626525567208</v>
      </c>
      <c r="J65" s="18" t="n">
        <f aca="false">I65*(1-$B$61)+$B$58*IF(9&lt;=3,0.5,1)</f>
        <v>14.5002603115359</v>
      </c>
      <c r="K65" s="18" t="n">
        <f aca="false">J65*(1-$B$61)+$B$58*IF(10&lt;=3,0.5,1)</f>
        <v>16.3552577084206</v>
      </c>
      <c r="L65" s="18" t="n">
        <f aca="false">K65*(1-$B$61)+$B$58*IF(11&lt;=3,0.5,1)</f>
        <v>18.1917051313363</v>
      </c>
      <c r="M65" s="18" t="n">
        <f aca="false">L65*(1-$B$61)+$B$58*IF(12&lt;=3,0.5,1)</f>
        <v>20.009788080023</v>
      </c>
      <c r="N65" s="18" t="n">
        <f aca="false">M65*(1-$B$61)+$B$58*IF(13&lt;=3,0.5,1)</f>
        <v>21.8096901992228</v>
      </c>
      <c r="O65" s="18" t="n">
        <f aca="false">N65*(1-$B$61)+$B$58*IF(14&lt;=3,0.5,1)</f>
        <v>23.5915932972305</v>
      </c>
      <c r="P65" s="18" t="n">
        <f aca="false">O65*(1-$B$61)+$B$58*IF(15&lt;=3,0.5,1)</f>
        <v>25.3556773642582</v>
      </c>
      <c r="Q65" s="18" t="n">
        <f aca="false">P65*(1-$B$61)+$B$58*IF(16&lt;=3,0.5,1)</f>
        <v>27.1021205906156</v>
      </c>
      <c r="R65" s="18" t="n">
        <f aca="false">Q65*(1-$B$61)+$B$58*IF(17&lt;=3,0.5,1)</f>
        <v>28.8310993847095</v>
      </c>
      <c r="S65" s="18" t="n">
        <f aca="false">R65*(1-$B$61)+$B$58*IF(18&lt;=3,0.5,1)</f>
        <v>30.5427883908624</v>
      </c>
      <c r="T65" s="18" t="n">
        <f aca="false">S65*(1-$B$61)+$B$58*IF(19&lt;=3,0.5,1)</f>
        <v>32.2373605069538</v>
      </c>
      <c r="U65" s="18" t="n">
        <f aca="false">T65*(1-$B$61)+$B$58*IF(20&lt;=3,0.5,1)</f>
        <v>33.9149869018842</v>
      </c>
      <c r="V65" s="18" t="n">
        <f aca="false">U65*(1-$B$61)+$B$58*IF(21&lt;=3,0.5,1)</f>
        <v>35.5758370328654</v>
      </c>
      <c r="W65" s="18" t="n">
        <f aca="false">V65*(1-$B$61)+$B$58*IF(22&lt;=3,0.5,1)</f>
        <v>37.2200786625367</v>
      </c>
      <c r="X65" s="18" t="n">
        <f aca="false">W65*(1-$B$61)+$B$58*IF(23&lt;=3,0.5,1)</f>
        <v>38.8478778759114</v>
      </c>
      <c r="Y65" s="18" t="n">
        <f aca="false">X65*(1-$B$61)+$B$58*IF(24&lt;=3,0.5,1)</f>
        <v>40.4593990971523</v>
      </c>
    </row>
    <row r="66" customFormat="false" ht="15" hidden="false" customHeight="false" outlineLevel="0" collapsed="false">
      <c r="A66" s="0" t="s">
        <v>119</v>
      </c>
      <c r="B66" s="18" t="n">
        <f aca="false">$B$59*IF(1&lt;=3,0.5,1)</f>
        <v>0.25</v>
      </c>
      <c r="C66" s="18" t="n">
        <f aca="false">B66*(1-$B$61)+$B$59*IF(2&lt;=3,0.5,1)</f>
        <v>0.4975</v>
      </c>
      <c r="D66" s="18" t="n">
        <f aca="false">C66*(1-$B$61)+$B$59*IF(3&lt;=3,0.5,1)</f>
        <v>0.742525</v>
      </c>
      <c r="E66" s="18" t="n">
        <f aca="false">D66*(1-$B$61)+$B$59*IF(4&lt;=3,0.5,1)</f>
        <v>1.23509975</v>
      </c>
      <c r="F66" s="18" t="n">
        <f aca="false">E66*(1-$B$61)+$B$59*IF(5&lt;=3,0.5,1)</f>
        <v>1.7227487525</v>
      </c>
      <c r="G66" s="18" t="n">
        <f aca="false">F66*(1-$B$61)+$B$59*IF(6&lt;=3,0.5,1)</f>
        <v>2.205521264975</v>
      </c>
      <c r="H66" s="18" t="n">
        <f aca="false">G66*(1-$B$61)+$B$59*IF(7&lt;=3,0.5,1)</f>
        <v>2.68346605232525</v>
      </c>
      <c r="I66" s="18" t="n">
        <f aca="false">H66*(1-$B$61)+$B$59*IF(8&lt;=3,0.5,1)</f>
        <v>3.156631391802</v>
      </c>
      <c r="J66" s="18" t="n">
        <f aca="false">I66*(1-$B$61)+$B$59*IF(9&lt;=3,0.5,1)</f>
        <v>3.62506507788398</v>
      </c>
      <c r="K66" s="18" t="n">
        <f aca="false">J66*(1-$B$61)+$B$59*IF(10&lt;=3,0.5,1)</f>
        <v>4.08881442710514</v>
      </c>
      <c r="L66" s="18" t="n">
        <f aca="false">K66*(1-$B$61)+$B$59*IF(11&lt;=3,0.5,1)</f>
        <v>4.54792628283409</v>
      </c>
      <c r="M66" s="18" t="n">
        <f aca="false">L66*(1-$B$61)+$B$59*IF(12&lt;=3,0.5,1)</f>
        <v>5.00244702000575</v>
      </c>
      <c r="N66" s="18" t="n">
        <f aca="false">M66*(1-$B$61)+$B$59*IF(13&lt;=3,0.5,1)</f>
        <v>5.45242254980569</v>
      </c>
      <c r="O66" s="18" t="n">
        <f aca="false">N66*(1-$B$61)+$B$59*IF(14&lt;=3,0.5,1)</f>
        <v>5.89789832430763</v>
      </c>
      <c r="P66" s="18" t="n">
        <f aca="false">O66*(1-$B$61)+$B$59*IF(15&lt;=3,0.5,1)</f>
        <v>6.33891934106456</v>
      </c>
      <c r="Q66" s="18" t="n">
        <f aca="false">P66*(1-$B$61)+$B$59*IF(16&lt;=3,0.5,1)</f>
        <v>6.77553014765391</v>
      </c>
      <c r="R66" s="18" t="n">
        <f aca="false">Q66*(1-$B$61)+$B$59*IF(17&lt;=3,0.5,1)</f>
        <v>7.20777484617737</v>
      </c>
      <c r="S66" s="18" t="n">
        <f aca="false">R66*(1-$B$61)+$B$59*IF(18&lt;=3,0.5,1)</f>
        <v>7.6356970977156</v>
      </c>
      <c r="T66" s="18" t="n">
        <f aca="false">S66*(1-$B$61)+$B$59*IF(19&lt;=3,0.5,1)</f>
        <v>8.05934012673844</v>
      </c>
      <c r="U66" s="18" t="n">
        <f aca="false">T66*(1-$B$61)+$B$59*IF(20&lt;=3,0.5,1)</f>
        <v>8.47874672547106</v>
      </c>
      <c r="V66" s="18" t="n">
        <f aca="false">U66*(1-$B$61)+$B$59*IF(21&lt;=3,0.5,1)</f>
        <v>8.89395925821635</v>
      </c>
      <c r="W66" s="18" t="n">
        <f aca="false">V66*(1-$B$61)+$B$59*IF(22&lt;=3,0.5,1)</f>
        <v>9.30501966563418</v>
      </c>
      <c r="X66" s="18" t="n">
        <f aca="false">W66*(1-$B$61)+$B$59*IF(23&lt;=3,0.5,1)</f>
        <v>9.71196946897784</v>
      </c>
      <c r="Y66" s="18" t="n">
        <f aca="false">X66*(1-$B$61)+$B$59*IF(24&lt;=3,0.5,1)</f>
        <v>10.1148497742881</v>
      </c>
    </row>
    <row r="67" customFormat="false" ht="15" hidden="false" customHeight="false" outlineLevel="0" collapsed="false">
      <c r="A67" s="0" t="s">
        <v>120</v>
      </c>
      <c r="B67" s="18" t="n">
        <f aca="false">$B$60*IF(1&lt;=3,0.5,1)</f>
        <v>0.3</v>
      </c>
      <c r="C67" s="18" t="n">
        <f aca="false">B67*(1-$B$61)+$B$60*IF(2&lt;=3,0.5,1)</f>
        <v>0.597</v>
      </c>
      <c r="D67" s="18" t="n">
        <f aca="false">C67*(1-$B$61)+$B$60*IF(3&lt;=3,0.5,1)</f>
        <v>0.89103</v>
      </c>
      <c r="E67" s="18" t="n">
        <f aca="false">D67*(1-$B$61)+$B$60*IF(4&lt;=3,0.5,1)</f>
        <v>1.4821197</v>
      </c>
      <c r="F67" s="18" t="n">
        <f aca="false">E67*(1-$B$61)+$B$60*IF(5&lt;=3,0.5,1)</f>
        <v>2.067298503</v>
      </c>
      <c r="G67" s="18" t="n">
        <f aca="false">F67*(1-$B$61)+$B$60*IF(6&lt;=3,0.5,1)</f>
        <v>2.64662551797</v>
      </c>
      <c r="H67" s="18" t="n">
        <f aca="false">G67*(1-$B$61)+$B$60*IF(7&lt;=3,0.5,1)</f>
        <v>3.2201592627903</v>
      </c>
      <c r="I67" s="18" t="n">
        <f aca="false">H67*(1-$B$61)+$B$60*IF(8&lt;=3,0.5,1)</f>
        <v>3.7879576701624</v>
      </c>
      <c r="J67" s="18" t="n">
        <f aca="false">I67*(1-$B$61)+$B$60*IF(9&lt;=3,0.5,1)</f>
        <v>4.35007809346077</v>
      </c>
      <c r="K67" s="18" t="n">
        <f aca="false">J67*(1-$B$61)+$B$60*IF(10&lt;=3,0.5,1)</f>
        <v>4.90657731252617</v>
      </c>
      <c r="L67" s="18" t="n">
        <f aca="false">K67*(1-$B$61)+$B$60*IF(11&lt;=3,0.5,1)</f>
        <v>5.4575115394009</v>
      </c>
      <c r="M67" s="18" t="n">
        <f aca="false">L67*(1-$B$61)+$B$60*IF(12&lt;=3,0.5,1)</f>
        <v>6.00293642400689</v>
      </c>
      <c r="N67" s="18" t="n">
        <f aca="false">M67*(1-$B$61)+$B$60*IF(13&lt;=3,0.5,1)</f>
        <v>6.54290705976683</v>
      </c>
      <c r="O67" s="18" t="n">
        <f aca="false">N67*(1-$B$61)+$B$60*IF(14&lt;=3,0.5,1)</f>
        <v>7.07747798916916</v>
      </c>
      <c r="P67" s="18" t="n">
        <f aca="false">O67*(1-$B$61)+$B$60*IF(15&lt;=3,0.5,1)</f>
        <v>7.60670320927746</v>
      </c>
      <c r="Q67" s="18" t="n">
        <f aca="false">P67*(1-$B$61)+$B$60*IF(16&lt;=3,0.5,1)</f>
        <v>8.13063617718469</v>
      </c>
      <c r="R67" s="18" t="n">
        <f aca="false">Q67*(1-$B$61)+$B$60*IF(17&lt;=3,0.5,1)</f>
        <v>8.64932981541284</v>
      </c>
      <c r="S67" s="18" t="n">
        <f aca="false">R67*(1-$B$61)+$B$60*IF(18&lt;=3,0.5,1)</f>
        <v>9.16283651725871</v>
      </c>
      <c r="T67" s="18" t="n">
        <f aca="false">S67*(1-$B$61)+$B$60*IF(19&lt;=3,0.5,1)</f>
        <v>9.67120815208613</v>
      </c>
      <c r="U67" s="18" t="n">
        <f aca="false">T67*(1-$B$61)+$B$60*IF(20&lt;=3,0.5,1)</f>
        <v>10.1744960705653</v>
      </c>
      <c r="V67" s="18" t="n">
        <f aca="false">U67*(1-$B$61)+$B$60*IF(21&lt;=3,0.5,1)</f>
        <v>10.6727511098596</v>
      </c>
      <c r="W67" s="18" t="n">
        <f aca="false">V67*(1-$B$61)+$B$60*IF(22&lt;=3,0.5,1)</f>
        <v>11.166023598761</v>
      </c>
      <c r="X67" s="18" t="n">
        <f aca="false">W67*(1-$B$61)+$B$60*IF(23&lt;=3,0.5,1)</f>
        <v>11.6543633627734</v>
      </c>
      <c r="Y67" s="18" t="n">
        <f aca="false">X67*(1-$B$61)+$B$60*IF(24&lt;=3,0.5,1)</f>
        <v>12.1378197291457</v>
      </c>
    </row>
    <row r="68" customFormat="false" ht="15" hidden="false" customHeight="false" outlineLevel="0" collapsed="false">
      <c r="A68" s="0" t="s">
        <v>121</v>
      </c>
      <c r="B68" s="17" t="n">
        <f aca="false">B64*Inputs!$B$35+B65*Inputs!$B$36+B66*Inputs!$B$37+B67*Inputs!$B$38</f>
        <v>322.5</v>
      </c>
      <c r="C68" s="17" t="n">
        <f aca="false">C64*Inputs!$B$35+C65*Inputs!$B$36+C66*Inputs!$B$37+C67*Inputs!$B$38</f>
        <v>641.775</v>
      </c>
      <c r="D68" s="17" t="n">
        <f aca="false">D64*Inputs!$B$35+D65*Inputs!$B$36+D66*Inputs!$B$37+D67*Inputs!$B$38</f>
        <v>957.85725</v>
      </c>
      <c r="E68" s="17" t="n">
        <f aca="false">E64*Inputs!$B$35+E65*Inputs!$B$36+E66*Inputs!$B$37+E67*Inputs!$B$38</f>
        <v>1593.2786775</v>
      </c>
      <c r="F68" s="17" t="n">
        <f aca="false">F64*Inputs!$B$35+F65*Inputs!$B$36+F66*Inputs!$B$37+F67*Inputs!$B$38</f>
        <v>2222.345890725</v>
      </c>
      <c r="G68" s="17" t="n">
        <f aca="false">G64*Inputs!$B$35+G65*Inputs!$B$36+G66*Inputs!$B$37+G67*Inputs!$B$38</f>
        <v>2845.12243181775</v>
      </c>
      <c r="H68" s="17" t="n">
        <f aca="false">H64*Inputs!$B$35+H65*Inputs!$B$36+H66*Inputs!$B$37+H67*Inputs!$B$38</f>
        <v>3461.67120749957</v>
      </c>
      <c r="I68" s="17" t="n">
        <f aca="false">I64*Inputs!$B$35+I65*Inputs!$B$36+I66*Inputs!$B$37+I67*Inputs!$B$38</f>
        <v>4072.05449542458</v>
      </c>
      <c r="J68" s="17" t="n">
        <f aca="false">J64*Inputs!$B$35+J65*Inputs!$B$36+J66*Inputs!$B$37+J67*Inputs!$B$38</f>
        <v>4676.33395047033</v>
      </c>
      <c r="K68" s="17" t="n">
        <f aca="false">K64*Inputs!$B$35+K65*Inputs!$B$36+K66*Inputs!$B$37+K67*Inputs!$B$38</f>
        <v>5274.57061096563</v>
      </c>
      <c r="L68" s="17" t="n">
        <f aca="false">L64*Inputs!$B$35+L65*Inputs!$B$36+L66*Inputs!$B$37+L67*Inputs!$B$38</f>
        <v>5866.82490485597</v>
      </c>
      <c r="M68" s="17" t="n">
        <f aca="false">M64*Inputs!$B$35+M65*Inputs!$B$36+M66*Inputs!$B$37+M67*Inputs!$B$38</f>
        <v>6453.15665580741</v>
      </c>
      <c r="N68" s="17" t="n">
        <f aca="false">N64*Inputs!$B$35+N65*Inputs!$B$36+N66*Inputs!$B$37+N67*Inputs!$B$38</f>
        <v>7033.62508924934</v>
      </c>
      <c r="O68" s="17" t="n">
        <f aca="false">O64*Inputs!$B$35+O65*Inputs!$B$36+O66*Inputs!$B$37+O67*Inputs!$B$38</f>
        <v>7608.28883835684</v>
      </c>
      <c r="P68" s="17" t="n">
        <f aca="false">P64*Inputs!$B$35+P65*Inputs!$B$36+P66*Inputs!$B$37+P67*Inputs!$B$38</f>
        <v>8177.20594997328</v>
      </c>
      <c r="Q68" s="17" t="n">
        <f aca="false">Q64*Inputs!$B$35+Q65*Inputs!$B$36+Q66*Inputs!$B$37+Q67*Inputs!$B$38</f>
        <v>8740.43389047354</v>
      </c>
      <c r="R68" s="17" t="n">
        <f aca="false">R64*Inputs!$B$35+R65*Inputs!$B$36+R66*Inputs!$B$37+R67*Inputs!$B$38</f>
        <v>9298.02955156881</v>
      </c>
      <c r="S68" s="17" t="n">
        <f aca="false">S64*Inputs!$B$35+S65*Inputs!$B$36+S66*Inputs!$B$37+S67*Inputs!$B$38</f>
        <v>9850.04925605312</v>
      </c>
      <c r="T68" s="17" t="n">
        <f aca="false">T64*Inputs!$B$35+T65*Inputs!$B$36+T66*Inputs!$B$37+T67*Inputs!$B$38</f>
        <v>10396.5487634926</v>
      </c>
      <c r="U68" s="17" t="n">
        <f aca="false">U64*Inputs!$B$35+U65*Inputs!$B$36+U66*Inputs!$B$37+U67*Inputs!$B$38</f>
        <v>10937.5832758577</v>
      </c>
      <c r="V68" s="17" t="n">
        <f aca="false">V64*Inputs!$B$35+V65*Inputs!$B$36+V66*Inputs!$B$37+V67*Inputs!$B$38</f>
        <v>11473.2074430991</v>
      </c>
      <c r="W68" s="17" t="n">
        <f aca="false">W64*Inputs!$B$35+W65*Inputs!$B$36+W66*Inputs!$B$37+W67*Inputs!$B$38</f>
        <v>12003.4753686681</v>
      </c>
      <c r="X68" s="17" t="n">
        <f aca="false">X64*Inputs!$B$35+X65*Inputs!$B$36+X66*Inputs!$B$37+X67*Inputs!$B$38</f>
        <v>12528.4406149814</v>
      </c>
      <c r="Y68" s="17" t="n">
        <f aca="false">Y64*Inputs!$B$35+Y65*Inputs!$B$36+Y66*Inputs!$B$37+Y67*Inputs!$B$38</f>
        <v>13048.1562088316</v>
      </c>
    </row>
    <row r="69" customFormat="false" ht="15" hidden="false" customHeight="false" outlineLevel="0" collapsed="false">
      <c r="A69" s="0" t="s">
        <v>122</v>
      </c>
      <c r="B69" s="14" t="n">
        <f aca="false">B64*'Unit economics'!$E$2+B65*'Unit economics'!$E$3+B66*'Unit economics'!$E$4+B67*'Unit economics'!$E$5</f>
        <v>1674.5</v>
      </c>
      <c r="C69" s="14" t="n">
        <f aca="false">C64*'Unit economics'!$E$2+C65*'Unit economics'!$E$3+C66*'Unit economics'!$E$4+C67*'Unit economics'!$E$5</f>
        <v>3332.255</v>
      </c>
      <c r="D69" s="14" t="n">
        <f aca="false">D64*'Unit economics'!$E$2+D65*'Unit economics'!$E$3+D66*'Unit economics'!$E$4+D67*'Unit economics'!$E$5</f>
        <v>4973.43245</v>
      </c>
      <c r="E69" s="14" t="n">
        <f aca="false">E64*'Unit economics'!$E$2+E65*'Unit economics'!$E$3+E66*'Unit economics'!$E$4+E67*'Unit economics'!$E$5</f>
        <v>8272.6981255</v>
      </c>
      <c r="F69" s="14" t="n">
        <f aca="false">F64*'Unit economics'!$E$2+F65*'Unit economics'!$E$3+F66*'Unit economics'!$E$4+F67*'Unit economics'!$E$5</f>
        <v>11538.971144245</v>
      </c>
      <c r="G69" s="14" t="n">
        <f aca="false">G64*'Unit economics'!$E$2+G65*'Unit economics'!$E$3+G66*'Unit economics'!$E$4+G67*'Unit economics'!$E$5</f>
        <v>14772.5814328025</v>
      </c>
      <c r="H69" s="14" t="n">
        <f aca="false">H64*'Unit economics'!$E$2+H65*'Unit economics'!$E$3+H66*'Unit economics'!$E$4+H67*'Unit economics'!$E$5</f>
        <v>17973.8556184745</v>
      </c>
      <c r="I69" s="14" t="n">
        <f aca="false">I64*'Unit economics'!$E$2+I65*'Unit economics'!$E$3+I66*'Unit economics'!$E$4+I67*'Unit economics'!$E$5</f>
        <v>21143.1170622898</v>
      </c>
      <c r="J69" s="14" t="n">
        <f aca="false">J64*'Unit economics'!$E$2+J65*'Unit economics'!$E$3+J66*'Unit economics'!$E$4+J67*'Unit economics'!$E$5</f>
        <v>24280.6858916669</v>
      </c>
      <c r="K69" s="14" t="n">
        <f aca="false">K64*'Unit economics'!$E$2+K65*'Unit economics'!$E$3+K66*'Unit economics'!$E$4+K67*'Unit economics'!$E$5</f>
        <v>27386.8790327502</v>
      </c>
      <c r="L69" s="14" t="n">
        <f aca="false">L64*'Unit economics'!$E$2+L65*'Unit economics'!$E$3+L66*'Unit economics'!$E$4+L67*'Unit economics'!$E$5</f>
        <v>30462.0102424227</v>
      </c>
      <c r="M69" s="14" t="n">
        <f aca="false">M64*'Unit economics'!$E$2+M65*'Unit economics'!$E$3+M66*'Unit economics'!$E$4+M67*'Unit economics'!$E$5</f>
        <v>33506.3901399985</v>
      </c>
      <c r="N69" s="14" t="n">
        <f aca="false">N64*'Unit economics'!$E$2+N65*'Unit economics'!$E$3+N66*'Unit economics'!$E$4+N67*'Unit economics'!$E$5</f>
        <v>36520.3262385985</v>
      </c>
      <c r="O69" s="14" t="n">
        <f aca="false">O64*'Unit economics'!$E$2+O65*'Unit economics'!$E$3+O66*'Unit economics'!$E$4+O67*'Unit economics'!$E$5</f>
        <v>39504.1229762125</v>
      </c>
      <c r="P69" s="14" t="n">
        <f aca="false">P64*'Unit economics'!$E$2+P65*'Unit economics'!$E$3+P66*'Unit economics'!$E$4+P67*'Unit economics'!$E$5</f>
        <v>42458.0817464504</v>
      </c>
      <c r="Q69" s="14" t="n">
        <f aca="false">Q64*'Unit economics'!$E$2+Q65*'Unit economics'!$E$3+Q66*'Unit economics'!$E$4+Q67*'Unit economics'!$E$5</f>
        <v>45382.5009289859</v>
      </c>
      <c r="R69" s="14" t="n">
        <f aca="false">R64*'Unit economics'!$E$2+R65*'Unit economics'!$E$3+R66*'Unit economics'!$E$4+R67*'Unit economics'!$E$5</f>
        <v>48277.675919696</v>
      </c>
      <c r="S69" s="14" t="n">
        <f aca="false">S64*'Unit economics'!$E$2+S65*'Unit economics'!$E$3+S66*'Unit economics'!$E$4+S67*'Unit economics'!$E$5</f>
        <v>51143.8991604991</v>
      </c>
      <c r="T69" s="14" t="n">
        <f aca="false">T64*'Unit economics'!$E$2+T65*'Unit economics'!$E$3+T66*'Unit economics'!$E$4+T67*'Unit economics'!$E$5</f>
        <v>53981.4601688941</v>
      </c>
      <c r="U69" s="14" t="n">
        <f aca="false">U64*'Unit economics'!$E$2+U65*'Unit economics'!$E$3+U66*'Unit economics'!$E$4+U67*'Unit economics'!$E$5</f>
        <v>56790.6455672051</v>
      </c>
      <c r="V69" s="14" t="n">
        <f aca="false">V64*'Unit economics'!$E$2+V65*'Unit economics'!$E$3+V66*'Unit economics'!$E$4+V67*'Unit economics'!$E$5</f>
        <v>59571.7391115331</v>
      </c>
      <c r="W69" s="14" t="n">
        <f aca="false">W64*'Unit economics'!$E$2+W65*'Unit economics'!$E$3+W66*'Unit economics'!$E$4+W67*'Unit economics'!$E$5</f>
        <v>62325.0217204177</v>
      </c>
      <c r="X69" s="14" t="n">
        <f aca="false">X64*'Unit economics'!$E$2+X65*'Unit economics'!$E$3+X66*'Unit economics'!$E$4+X67*'Unit economics'!$E$5</f>
        <v>65050.7715032136</v>
      </c>
      <c r="Y69" s="14" t="n">
        <f aca="false">Y64*'Unit economics'!$E$2+Y65*'Unit economics'!$E$3+Y66*'Unit economics'!$E$4+Y67*'Unit economics'!$E$5</f>
        <v>67749.2637881814</v>
      </c>
    </row>
    <row r="70" customFormat="false" ht="15" hidden="false" customHeight="false" outlineLevel="0" collapsed="false">
      <c r="A70" s="0" t="s">
        <v>123</v>
      </c>
      <c r="B70" s="14" t="n">
        <f aca="false">B69/(1+Inputs!$B$20)</f>
        <v>1395.41666666667</v>
      </c>
      <c r="C70" s="14" t="n">
        <f aca="false">C69/(1+Inputs!$B$20)</f>
        <v>2776.87916666667</v>
      </c>
      <c r="D70" s="14" t="n">
        <f aca="false">D69/(1+Inputs!$B$20)</f>
        <v>4144.52704166667</v>
      </c>
      <c r="E70" s="14" t="n">
        <f aca="false">E69/(1+Inputs!$B$20)</f>
        <v>6893.91510458333</v>
      </c>
      <c r="F70" s="14" t="n">
        <f aca="false">F69/(1+Inputs!$B$20)</f>
        <v>9615.80928687083</v>
      </c>
      <c r="G70" s="14" t="n">
        <f aca="false">G69/(1+Inputs!$B$20)</f>
        <v>12310.4845273355</v>
      </c>
      <c r="H70" s="14" t="n">
        <f aca="false">H69/(1+Inputs!$B$20)</f>
        <v>14978.2130153954</v>
      </c>
      <c r="I70" s="14" t="n">
        <f aca="false">I69/(1+Inputs!$B$20)</f>
        <v>17619.2642185748</v>
      </c>
      <c r="J70" s="14" t="n">
        <f aca="false">J69/(1+Inputs!$B$20)</f>
        <v>20233.9049097224</v>
      </c>
      <c r="K70" s="14" t="n">
        <f aca="false">K69/(1+Inputs!$B$20)</f>
        <v>22822.3991939585</v>
      </c>
      <c r="L70" s="14" t="n">
        <f aca="false">L69/(1+Inputs!$B$20)</f>
        <v>25385.0085353523</v>
      </c>
      <c r="M70" s="14" t="n">
        <f aca="false">M69/(1+Inputs!$B$20)</f>
        <v>27921.9917833321</v>
      </c>
      <c r="N70" s="14" t="n">
        <f aca="false">N69/(1+Inputs!$B$20)</f>
        <v>30433.6051988321</v>
      </c>
      <c r="O70" s="14" t="n">
        <f aca="false">O69/(1+Inputs!$B$20)</f>
        <v>32920.1024801771</v>
      </c>
      <c r="P70" s="14" t="n">
        <f aca="false">P69/(1+Inputs!$B$20)</f>
        <v>35381.7347887087</v>
      </c>
      <c r="Q70" s="14" t="n">
        <f aca="false">Q69/(1+Inputs!$B$20)</f>
        <v>37818.7507741549</v>
      </c>
      <c r="R70" s="14" t="n">
        <f aca="false">R69/(1+Inputs!$B$20)</f>
        <v>40231.3965997467</v>
      </c>
      <c r="S70" s="14" t="n">
        <f aca="false">S69/(1+Inputs!$B$20)</f>
        <v>42619.9159670826</v>
      </c>
      <c r="T70" s="14" t="n">
        <f aca="false">T69/(1+Inputs!$B$20)</f>
        <v>44984.5501407451</v>
      </c>
      <c r="U70" s="14" t="n">
        <f aca="false">U69/(1+Inputs!$B$20)</f>
        <v>47325.5379726709</v>
      </c>
      <c r="V70" s="14" t="n">
        <f aca="false">V69/(1+Inputs!$B$20)</f>
        <v>49643.1159262776</v>
      </c>
      <c r="W70" s="14" t="n">
        <f aca="false">W69/(1+Inputs!$B$20)</f>
        <v>51937.5181003481</v>
      </c>
      <c r="X70" s="14" t="n">
        <f aca="false">X69/(1+Inputs!$B$20)</f>
        <v>54208.976252678</v>
      </c>
      <c r="Y70" s="14" t="n">
        <f aca="false">Y69/(1+Inputs!$B$20)</f>
        <v>56457.7198234845</v>
      </c>
    </row>
    <row r="71" customFormat="false" ht="15" hidden="false" customHeight="false" outlineLevel="0" collapsed="false">
      <c r="A71" s="0" t="s">
        <v>124</v>
      </c>
      <c r="B71" s="14" t="n">
        <f aca="false">B64*('Unit economics'!$H$2+'Unit economics'!$I$2)+B65*('Unit economics'!$H$3+'Unit economics'!$I$3)+B66*('Unit economics'!$H$4+'Unit economics'!$I$4)+B67*('Unit economics'!$H$5+'Unit economics'!$I$5)</f>
        <v>277.95</v>
      </c>
      <c r="C71" s="14" t="n">
        <f aca="false">C64*('Unit economics'!$H$2+'Unit economics'!$I$2)+C65*('Unit economics'!$H$3+'Unit economics'!$I$3)+C66*('Unit economics'!$H$4+'Unit economics'!$I$4)+C67*('Unit economics'!$H$5+'Unit economics'!$I$5)</f>
        <v>553.1205</v>
      </c>
      <c r="D71" s="14" t="n">
        <f aca="false">D64*('Unit economics'!$H$2+'Unit economics'!$I$2)+D65*('Unit economics'!$H$3+'Unit economics'!$I$3)+D66*('Unit economics'!$H$4+'Unit economics'!$I$4)+D67*('Unit economics'!$H$5+'Unit economics'!$I$5)</f>
        <v>825.539295</v>
      </c>
      <c r="E71" s="14" t="n">
        <f aca="false">E64*('Unit economics'!$H$2+'Unit economics'!$I$2)+E65*('Unit economics'!$H$3+'Unit economics'!$I$3)+E66*('Unit economics'!$H$4+'Unit economics'!$I$4)+E67*('Unit economics'!$H$5+'Unit economics'!$I$5)</f>
        <v>1373.18390205</v>
      </c>
      <c r="F71" s="14" t="n">
        <f aca="false">F64*('Unit economics'!$H$2+'Unit economics'!$I$2)+F65*('Unit economics'!$H$3+'Unit economics'!$I$3)+F66*('Unit economics'!$H$4+'Unit economics'!$I$4)+F67*('Unit economics'!$H$5+'Unit economics'!$I$5)</f>
        <v>1915.3520630295</v>
      </c>
      <c r="G71" s="14" t="n">
        <f aca="false">G64*('Unit economics'!$H$2+'Unit economics'!$I$2)+G65*('Unit economics'!$H$3+'Unit economics'!$I$3)+G66*('Unit economics'!$H$4+'Unit economics'!$I$4)+G67*('Unit economics'!$H$5+'Unit economics'!$I$5)</f>
        <v>2452.0985423992</v>
      </c>
      <c r="H71" s="14" t="n">
        <f aca="false">H64*('Unit economics'!$H$2+'Unit economics'!$I$2)+H65*('Unit economics'!$H$3+'Unit economics'!$I$3)+H66*('Unit economics'!$H$4+'Unit economics'!$I$4)+H67*('Unit economics'!$H$5+'Unit economics'!$I$5)</f>
        <v>2983.47755697521</v>
      </c>
      <c r="I71" s="14" t="n">
        <f aca="false">I64*('Unit economics'!$H$2+'Unit economics'!$I$2)+I65*('Unit economics'!$H$3+'Unit economics'!$I$3)+I66*('Unit economics'!$H$4+'Unit economics'!$I$4)+I67*('Unit economics'!$H$5+'Unit economics'!$I$5)</f>
        <v>3509.54278140546</v>
      </c>
      <c r="J71" s="14" t="n">
        <f aca="false">J64*('Unit economics'!$H$2+'Unit economics'!$I$2)+J65*('Unit economics'!$H$3+'Unit economics'!$I$3)+J66*('Unit economics'!$H$4+'Unit economics'!$I$4)+J67*('Unit economics'!$H$5+'Unit economics'!$I$5)</f>
        <v>4030.34735359141</v>
      </c>
      <c r="K71" s="14" t="n">
        <f aca="false">K64*('Unit economics'!$H$2+'Unit economics'!$I$2)+K65*('Unit economics'!$H$3+'Unit economics'!$I$3)+K66*('Unit economics'!$H$4+'Unit economics'!$I$4)+K67*('Unit economics'!$H$5+'Unit economics'!$I$5)</f>
        <v>4545.94388005549</v>
      </c>
      <c r="L71" s="14" t="n">
        <f aca="false">L64*('Unit economics'!$H$2+'Unit economics'!$I$2)+L65*('Unit economics'!$H$3+'Unit economics'!$I$3)+L66*('Unit economics'!$H$4+'Unit economics'!$I$4)+L67*('Unit economics'!$H$5+'Unit economics'!$I$5)</f>
        <v>5056.38444125494</v>
      </c>
      <c r="M71" s="14" t="n">
        <f aca="false">M64*('Unit economics'!$H$2+'Unit economics'!$I$2)+M65*('Unit economics'!$H$3+'Unit economics'!$I$3)+M66*('Unit economics'!$H$4+'Unit economics'!$I$4)+M67*('Unit economics'!$H$5+'Unit economics'!$I$5)</f>
        <v>5561.72059684239</v>
      </c>
      <c r="N71" s="14" t="n">
        <f aca="false">N64*('Unit economics'!$H$2+'Unit economics'!$I$2)+N65*('Unit economics'!$H$3+'Unit economics'!$I$3)+N66*('Unit economics'!$H$4+'Unit economics'!$I$4)+N67*('Unit economics'!$H$5+'Unit economics'!$I$5)</f>
        <v>6062.00339087396</v>
      </c>
      <c r="O71" s="14" t="n">
        <f aca="false">O64*('Unit economics'!$H$2+'Unit economics'!$I$2)+O65*('Unit economics'!$H$3+'Unit economics'!$I$3)+O66*('Unit economics'!$H$4+'Unit economics'!$I$4)+O67*('Unit economics'!$H$5+'Unit economics'!$I$5)</f>
        <v>6557.28335696522</v>
      </c>
      <c r="P71" s="14" t="n">
        <f aca="false">P64*('Unit economics'!$H$2+'Unit economics'!$I$2)+P65*('Unit economics'!$H$3+'Unit economics'!$I$3)+P66*('Unit economics'!$H$4+'Unit economics'!$I$4)+P67*('Unit economics'!$H$5+'Unit economics'!$I$5)</f>
        <v>7047.61052339557</v>
      </c>
      <c r="Q71" s="14" t="n">
        <f aca="false">Q64*('Unit economics'!$H$2+'Unit economics'!$I$2)+Q65*('Unit economics'!$H$3+'Unit economics'!$I$3)+Q66*('Unit economics'!$H$4+'Unit economics'!$I$4)+Q67*('Unit economics'!$H$5+'Unit economics'!$I$5)</f>
        <v>7533.03441816162</v>
      </c>
      <c r="R71" s="14" t="n">
        <f aca="false">R64*('Unit economics'!$H$2+'Unit economics'!$I$2)+R65*('Unit economics'!$H$3+'Unit economics'!$I$3)+R66*('Unit economics'!$H$4+'Unit economics'!$I$4)+R67*('Unit economics'!$H$5+'Unit economics'!$I$5)</f>
        <v>8013.60407398</v>
      </c>
      <c r="S71" s="14" t="n">
        <f aca="false">S64*('Unit economics'!$H$2+'Unit economics'!$I$2)+S65*('Unit economics'!$H$3+'Unit economics'!$I$3)+S66*('Unit economics'!$H$4+'Unit economics'!$I$4)+S67*('Unit economics'!$H$5+'Unit economics'!$I$5)</f>
        <v>8489.3680332402</v>
      </c>
      <c r="T71" s="14" t="n">
        <f aca="false">T64*('Unit economics'!$H$2+'Unit economics'!$I$2)+T65*('Unit economics'!$H$3+'Unit economics'!$I$3)+T66*('Unit economics'!$H$4+'Unit economics'!$I$4)+T67*('Unit economics'!$H$5+'Unit economics'!$I$5)</f>
        <v>8960.3743529078</v>
      </c>
      <c r="U71" s="14" t="n">
        <f aca="false">U64*('Unit economics'!$H$2+'Unit economics'!$I$2)+U65*('Unit economics'!$H$3+'Unit economics'!$I$3)+U66*('Unit economics'!$H$4+'Unit economics'!$I$4)+U67*('Unit economics'!$H$5+'Unit economics'!$I$5)</f>
        <v>9426.67060937872</v>
      </c>
      <c r="V71" s="14" t="n">
        <f aca="false">V64*('Unit economics'!$H$2+'Unit economics'!$I$2)+V65*('Unit economics'!$H$3+'Unit economics'!$I$3)+V66*('Unit economics'!$H$4+'Unit economics'!$I$4)+V67*('Unit economics'!$H$5+'Unit economics'!$I$5)</f>
        <v>9888.30390328493</v>
      </c>
      <c r="W71" s="14" t="n">
        <f aca="false">W64*('Unit economics'!$H$2+'Unit economics'!$I$2)+W65*('Unit economics'!$H$3+'Unit economics'!$I$3)+W66*('Unit economics'!$H$4+'Unit economics'!$I$4)+W67*('Unit economics'!$H$5+'Unit economics'!$I$5)</f>
        <v>10345.3208642521</v>
      </c>
      <c r="X71" s="14" t="n">
        <f aca="false">X64*('Unit economics'!$H$2+'Unit economics'!$I$2)+X65*('Unit economics'!$H$3+'Unit economics'!$I$3)+X66*('Unit economics'!$H$4+'Unit economics'!$I$4)+X67*('Unit economics'!$H$5+'Unit economics'!$I$5)</f>
        <v>10797.7676556096</v>
      </c>
      <c r="Y71" s="14" t="n">
        <f aca="false">Y64*('Unit economics'!$H$2+'Unit economics'!$I$2)+Y65*('Unit economics'!$H$3+'Unit economics'!$I$3)+Y66*('Unit economics'!$H$4+'Unit economics'!$I$4)+Y67*('Unit economics'!$H$5+'Unit economics'!$I$5)</f>
        <v>11245.6899790535</v>
      </c>
    </row>
    <row r="72" customFormat="false" ht="15" hidden="false" customHeight="false" outlineLevel="0" collapsed="false">
      <c r="A72" s="0" t="s">
        <v>125</v>
      </c>
      <c r="B72" s="14" t="n">
        <f aca="false">Inputs!$B$10+Inputs!$B$46</f>
        <v>3780</v>
      </c>
      <c r="C72" s="14" t="n">
        <f aca="false">Inputs!$B$10+Inputs!$B$46</f>
        <v>3780</v>
      </c>
      <c r="D72" s="14" t="n">
        <f aca="false">Inputs!$B$10+Inputs!$B$46</f>
        <v>3780</v>
      </c>
      <c r="E72" s="14" t="n">
        <f aca="false">Inputs!$B$10+Inputs!$B$46</f>
        <v>3780</v>
      </c>
      <c r="F72" s="14" t="n">
        <f aca="false">Inputs!$B$10+Inputs!$B$46</f>
        <v>3780</v>
      </c>
      <c r="G72" s="14" t="n">
        <f aca="false">Inputs!$B$10+Inputs!$B$46</f>
        <v>3780</v>
      </c>
      <c r="H72" s="14" t="n">
        <f aca="false">Inputs!$B$10+Inputs!$B$46</f>
        <v>3780</v>
      </c>
      <c r="I72" s="14" t="n">
        <f aca="false">Inputs!$B$10+Inputs!$B$46</f>
        <v>3780</v>
      </c>
      <c r="J72" s="14" t="n">
        <f aca="false">Inputs!$B$10+Inputs!$B$46</f>
        <v>3780</v>
      </c>
      <c r="K72" s="14" t="n">
        <f aca="false">Inputs!$B$10+Inputs!$B$46</f>
        <v>3780</v>
      </c>
      <c r="L72" s="14" t="n">
        <f aca="false">Inputs!$B$10+Inputs!$B$46</f>
        <v>3780</v>
      </c>
      <c r="M72" s="14" t="n">
        <f aca="false">Inputs!$B$10+Inputs!$B$46</f>
        <v>3780</v>
      </c>
      <c r="N72" s="14" t="n">
        <f aca="false">Inputs!$B$10+Inputs!$B$46</f>
        <v>3780</v>
      </c>
      <c r="O72" s="14" t="n">
        <f aca="false">Inputs!$B$10+Inputs!$B$46</f>
        <v>3780</v>
      </c>
      <c r="P72" s="14" t="n">
        <f aca="false">Inputs!$B$10+Inputs!$B$46</f>
        <v>3780</v>
      </c>
      <c r="Q72" s="14" t="n">
        <f aca="false">Inputs!$B$10+Inputs!$B$46</f>
        <v>3780</v>
      </c>
      <c r="R72" s="14" t="n">
        <f aca="false">Inputs!$B$10+Inputs!$B$46</f>
        <v>3780</v>
      </c>
      <c r="S72" s="14" t="n">
        <f aca="false">Inputs!$B$10+Inputs!$B$46</f>
        <v>3780</v>
      </c>
      <c r="T72" s="14" t="n">
        <f aca="false">Inputs!$B$10+Inputs!$B$46</f>
        <v>3780</v>
      </c>
      <c r="U72" s="14" t="n">
        <f aca="false">Inputs!$B$10+Inputs!$B$46</f>
        <v>3780</v>
      </c>
      <c r="V72" s="14" t="n">
        <f aca="false">Inputs!$B$10+Inputs!$B$46</f>
        <v>3780</v>
      </c>
      <c r="W72" s="14" t="n">
        <f aca="false">Inputs!$B$10+Inputs!$B$46</f>
        <v>3780</v>
      </c>
      <c r="X72" s="14" t="n">
        <f aca="false">Inputs!$B$10+Inputs!$B$46</f>
        <v>3780</v>
      </c>
      <c r="Y72" s="14" t="n">
        <f aca="false">Inputs!$B$10+Inputs!$B$46</f>
        <v>3780</v>
      </c>
    </row>
    <row r="73" customFormat="false" ht="15" hidden="false" customHeight="false" outlineLevel="0" collapsed="false">
      <c r="A73" s="0" t="s">
        <v>126</v>
      </c>
      <c r="B73" s="14" t="n">
        <f aca="false">IF(1&gt;=Inputs!$B$54,Inputs!$B$52*Inputs!$B$53*(1+Inputs!$B$47),0)</f>
        <v>0</v>
      </c>
      <c r="C73" s="14" t="n">
        <f aca="false">IF(2&gt;=Inputs!$B$54,Inputs!$B$52*Inputs!$B$53*(1+Inputs!$B$47),0)</f>
        <v>0</v>
      </c>
      <c r="D73" s="14" t="n">
        <f aca="false">IF(3&gt;=Inputs!$B$54,Inputs!$B$52*Inputs!$B$53*(1+Inputs!$B$47),0)</f>
        <v>0</v>
      </c>
      <c r="E73" s="14" t="n">
        <f aca="false">IF(4&gt;=Inputs!$B$54,Inputs!$B$52*Inputs!$B$53*(1+Inputs!$B$47),0)</f>
        <v>0</v>
      </c>
      <c r="F73" s="14" t="n">
        <f aca="false">IF(5&gt;=Inputs!$B$54,Inputs!$B$52*Inputs!$B$53*(1+Inputs!$B$47),0)</f>
        <v>0</v>
      </c>
      <c r="G73" s="14" t="n">
        <f aca="false">IF(6&gt;=Inputs!$B$54,Inputs!$B$52*Inputs!$B$53*(1+Inputs!$B$47),0)</f>
        <v>0</v>
      </c>
      <c r="H73" s="14" t="n">
        <f aca="false">IF(7&gt;=Inputs!$B$54,Inputs!$B$52*Inputs!$B$53*(1+Inputs!$B$47),0)</f>
        <v>0</v>
      </c>
      <c r="I73" s="14" t="n">
        <f aca="false">IF(8&gt;=Inputs!$B$54,Inputs!$B$52*Inputs!$B$53*(1+Inputs!$B$47),0)</f>
        <v>0</v>
      </c>
      <c r="J73" s="14" t="n">
        <f aca="false">IF(9&gt;=Inputs!$B$54,Inputs!$B$52*Inputs!$B$53*(1+Inputs!$B$47),0)</f>
        <v>0</v>
      </c>
      <c r="K73" s="14" t="n">
        <f aca="false">IF(10&gt;=Inputs!$B$54,Inputs!$B$52*Inputs!$B$53*(1+Inputs!$B$47),0)</f>
        <v>0</v>
      </c>
      <c r="L73" s="14" t="n">
        <f aca="false">IF(11&gt;=Inputs!$B$54,Inputs!$B$52*Inputs!$B$53*(1+Inputs!$B$47),0)</f>
        <v>0</v>
      </c>
      <c r="M73" s="14" t="n">
        <f aca="false">IF(12&gt;=Inputs!$B$54,Inputs!$B$52*Inputs!$B$53*(1+Inputs!$B$47),0)</f>
        <v>0</v>
      </c>
      <c r="N73" s="14" t="n">
        <f aca="false">IF(13&gt;=Inputs!$B$54,Inputs!$B$52*Inputs!$B$53*(1+Inputs!$B$47),0)</f>
        <v>21796.2</v>
      </c>
      <c r="O73" s="14" t="n">
        <f aca="false">IF(14&gt;=Inputs!$B$54,Inputs!$B$52*Inputs!$B$53*(1+Inputs!$B$47),0)</f>
        <v>21796.2</v>
      </c>
      <c r="P73" s="14" t="n">
        <f aca="false">IF(15&gt;=Inputs!$B$54,Inputs!$B$52*Inputs!$B$53*(1+Inputs!$B$47),0)</f>
        <v>21796.2</v>
      </c>
      <c r="Q73" s="14" t="n">
        <f aca="false">IF(16&gt;=Inputs!$B$54,Inputs!$B$52*Inputs!$B$53*(1+Inputs!$B$47),0)</f>
        <v>21796.2</v>
      </c>
      <c r="R73" s="14" t="n">
        <f aca="false">IF(17&gt;=Inputs!$B$54,Inputs!$B$52*Inputs!$B$53*(1+Inputs!$B$47),0)</f>
        <v>21796.2</v>
      </c>
      <c r="S73" s="14" t="n">
        <f aca="false">IF(18&gt;=Inputs!$B$54,Inputs!$B$52*Inputs!$B$53*(1+Inputs!$B$47),0)</f>
        <v>21796.2</v>
      </c>
      <c r="T73" s="14" t="n">
        <f aca="false">IF(19&gt;=Inputs!$B$54,Inputs!$B$52*Inputs!$B$53*(1+Inputs!$B$47),0)</f>
        <v>21796.2</v>
      </c>
      <c r="U73" s="14" t="n">
        <f aca="false">IF(20&gt;=Inputs!$B$54,Inputs!$B$52*Inputs!$B$53*(1+Inputs!$B$47),0)</f>
        <v>21796.2</v>
      </c>
      <c r="V73" s="14" t="n">
        <f aca="false">IF(21&gt;=Inputs!$B$54,Inputs!$B$52*Inputs!$B$53*(1+Inputs!$B$47),0)</f>
        <v>21796.2</v>
      </c>
      <c r="W73" s="14" t="n">
        <f aca="false">IF(22&gt;=Inputs!$B$54,Inputs!$B$52*Inputs!$B$53*(1+Inputs!$B$47),0)</f>
        <v>21796.2</v>
      </c>
      <c r="X73" s="14" t="n">
        <f aca="false">IF(23&gt;=Inputs!$B$54,Inputs!$B$52*Inputs!$B$53*(1+Inputs!$B$47),0)</f>
        <v>21796.2</v>
      </c>
      <c r="Y73" s="14" t="n">
        <f aca="false">IF(24&gt;=Inputs!$B$54,Inputs!$B$52*Inputs!$B$53*(1+Inputs!$B$47),0)</f>
        <v>21796.2</v>
      </c>
    </row>
    <row r="74" customFormat="false" ht="15" hidden="false" customHeight="false" outlineLevel="0" collapsed="false">
      <c r="A74" s="0" t="s">
        <v>127</v>
      </c>
      <c r="B74" s="14" t="n">
        <f aca="false">IF(1&gt;=Inputs!$B$56,Inputs!$B$55*(1+Inputs!$B$47),0)+IF(1&gt;=Inputs!$B$58,Inputs!$B$57*(1+Inputs!$B$47),0)</f>
        <v>0</v>
      </c>
      <c r="C74" s="14" t="n">
        <f aca="false">IF(2&gt;=Inputs!$B$56,Inputs!$B$55*(1+Inputs!$B$47),0)+IF(2&gt;=Inputs!$B$58,Inputs!$B$57*(1+Inputs!$B$47),0)</f>
        <v>0</v>
      </c>
      <c r="D74" s="14" t="n">
        <f aca="false">IF(3&gt;=Inputs!$B$56,Inputs!$B$55*(1+Inputs!$B$47),0)+IF(3&gt;=Inputs!$B$58,Inputs!$B$57*(1+Inputs!$B$47),0)</f>
        <v>0</v>
      </c>
      <c r="E74" s="14" t="n">
        <f aca="false">IF(4&gt;=Inputs!$B$56,Inputs!$B$55*(1+Inputs!$B$47),0)+IF(4&gt;=Inputs!$B$58,Inputs!$B$57*(1+Inputs!$B$47),0)</f>
        <v>0</v>
      </c>
      <c r="F74" s="14" t="n">
        <f aca="false">IF(5&gt;=Inputs!$B$56,Inputs!$B$55*(1+Inputs!$B$47),0)+IF(5&gt;=Inputs!$B$58,Inputs!$B$57*(1+Inputs!$B$47),0)</f>
        <v>0</v>
      </c>
      <c r="G74" s="14" t="n">
        <f aca="false">IF(6&gt;=Inputs!$B$56,Inputs!$B$55*(1+Inputs!$B$47),0)+IF(6&gt;=Inputs!$B$58,Inputs!$B$57*(1+Inputs!$B$47),0)</f>
        <v>0</v>
      </c>
      <c r="H74" s="14" t="n">
        <f aca="false">IF(7&gt;=Inputs!$B$56,Inputs!$B$55*(1+Inputs!$B$47),0)+IF(7&gt;=Inputs!$B$58,Inputs!$B$57*(1+Inputs!$B$47),0)</f>
        <v>0</v>
      </c>
      <c r="I74" s="14" t="n">
        <f aca="false">IF(8&gt;=Inputs!$B$56,Inputs!$B$55*(1+Inputs!$B$47),0)+IF(8&gt;=Inputs!$B$58,Inputs!$B$57*(1+Inputs!$B$47),0)</f>
        <v>0</v>
      </c>
      <c r="J74" s="14" t="n">
        <f aca="false">IF(9&gt;=Inputs!$B$56,Inputs!$B$55*(1+Inputs!$B$47),0)+IF(9&gt;=Inputs!$B$58,Inputs!$B$57*(1+Inputs!$B$47),0)</f>
        <v>0</v>
      </c>
      <c r="K74" s="14" t="n">
        <f aca="false">IF(10&gt;=Inputs!$B$56,Inputs!$B$55*(1+Inputs!$B$47),0)+IF(10&gt;=Inputs!$B$58,Inputs!$B$57*(1+Inputs!$B$47),0)</f>
        <v>0</v>
      </c>
      <c r="L74" s="14" t="n">
        <f aca="false">IF(11&gt;=Inputs!$B$56,Inputs!$B$55*(1+Inputs!$B$47),0)+IF(11&gt;=Inputs!$B$58,Inputs!$B$57*(1+Inputs!$B$47),0)</f>
        <v>0</v>
      </c>
      <c r="M74" s="14" t="n">
        <f aca="false">IF(12&gt;=Inputs!$B$56,Inputs!$B$55*(1+Inputs!$B$47),0)+IF(12&gt;=Inputs!$B$58,Inputs!$B$57*(1+Inputs!$B$47),0)</f>
        <v>0</v>
      </c>
      <c r="N74" s="14" t="n">
        <f aca="false">IF(13&gt;=Inputs!$B$56,Inputs!$B$55*(1+Inputs!$B$47),0)+IF(13&gt;=Inputs!$B$58,Inputs!$B$57*(1+Inputs!$B$47),0)</f>
        <v>0</v>
      </c>
      <c r="O74" s="14" t="n">
        <f aca="false">IF(14&gt;=Inputs!$B$56,Inputs!$B$55*(1+Inputs!$B$47),0)+IF(14&gt;=Inputs!$B$58,Inputs!$B$57*(1+Inputs!$B$47),0)</f>
        <v>0</v>
      </c>
      <c r="P74" s="14" t="n">
        <f aca="false">IF(15&gt;=Inputs!$B$56,Inputs!$B$55*(1+Inputs!$B$47),0)+IF(15&gt;=Inputs!$B$58,Inputs!$B$57*(1+Inputs!$B$47),0)</f>
        <v>0</v>
      </c>
      <c r="Q74" s="14" t="n">
        <f aca="false">IF(16&gt;=Inputs!$B$56,Inputs!$B$55*(1+Inputs!$B$47),0)+IF(16&gt;=Inputs!$B$58,Inputs!$B$57*(1+Inputs!$B$47),0)</f>
        <v>0</v>
      </c>
      <c r="R74" s="14" t="n">
        <f aca="false">IF(17&gt;=Inputs!$B$56,Inputs!$B$55*(1+Inputs!$B$47),0)+IF(17&gt;=Inputs!$B$58,Inputs!$B$57*(1+Inputs!$B$47),0)</f>
        <v>0</v>
      </c>
      <c r="S74" s="14" t="n">
        <f aca="false">IF(18&gt;=Inputs!$B$56,Inputs!$B$55*(1+Inputs!$B$47),0)+IF(18&gt;=Inputs!$B$58,Inputs!$B$57*(1+Inputs!$B$47),0)</f>
        <v>0</v>
      </c>
      <c r="T74" s="14" t="n">
        <f aca="false">IF(19&gt;=Inputs!$B$56,Inputs!$B$55*(1+Inputs!$B$47),0)+IF(19&gt;=Inputs!$B$58,Inputs!$B$57*(1+Inputs!$B$47),0)</f>
        <v>7265.4</v>
      </c>
      <c r="U74" s="14" t="n">
        <f aca="false">IF(20&gt;=Inputs!$B$56,Inputs!$B$55*(1+Inputs!$B$47),0)+IF(20&gt;=Inputs!$B$58,Inputs!$B$57*(1+Inputs!$B$47),0)</f>
        <v>7265.4</v>
      </c>
      <c r="V74" s="14" t="n">
        <f aca="false">IF(21&gt;=Inputs!$B$56,Inputs!$B$55*(1+Inputs!$B$47),0)+IF(21&gt;=Inputs!$B$58,Inputs!$B$57*(1+Inputs!$B$47),0)</f>
        <v>7265.4</v>
      </c>
      <c r="W74" s="14" t="n">
        <f aca="false">IF(22&gt;=Inputs!$B$56,Inputs!$B$55*(1+Inputs!$B$47),0)+IF(22&gt;=Inputs!$B$58,Inputs!$B$57*(1+Inputs!$B$47),0)</f>
        <v>7265.4</v>
      </c>
      <c r="X74" s="14" t="n">
        <f aca="false">IF(23&gt;=Inputs!$B$56,Inputs!$B$55*(1+Inputs!$B$47),0)+IF(23&gt;=Inputs!$B$58,Inputs!$B$57*(1+Inputs!$B$47),0)</f>
        <v>7265.4</v>
      </c>
      <c r="Y74" s="14" t="n">
        <f aca="false">IF(24&gt;=Inputs!$B$56,Inputs!$B$55*(1+Inputs!$B$47),0)+IF(24&gt;=Inputs!$B$58,Inputs!$B$57*(1+Inputs!$B$47),0)</f>
        <v>7265.4</v>
      </c>
    </row>
    <row r="75" customFormat="false" ht="15" hidden="false" customHeight="false" outlineLevel="0" collapsed="false">
      <c r="A75" s="0" t="s">
        <v>128</v>
      </c>
      <c r="B75" s="14" t="n">
        <f aca="false">IF(1&gt;=Inputs!$B$60,Inputs!$B$59,0)</f>
        <v>0</v>
      </c>
      <c r="C75" s="14" t="n">
        <f aca="false">IF(2&gt;=Inputs!$B$60,Inputs!$B$59,0)</f>
        <v>0</v>
      </c>
      <c r="D75" s="14" t="n">
        <f aca="false">IF(3&gt;=Inputs!$B$60,Inputs!$B$59,0)</f>
        <v>0</v>
      </c>
      <c r="E75" s="14" t="n">
        <f aca="false">IF(4&gt;=Inputs!$B$60,Inputs!$B$59,0)</f>
        <v>0</v>
      </c>
      <c r="F75" s="14" t="n">
        <f aca="false">IF(5&gt;=Inputs!$B$60,Inputs!$B$59,0)</f>
        <v>0</v>
      </c>
      <c r="G75" s="14" t="n">
        <f aca="false">IF(6&gt;=Inputs!$B$60,Inputs!$B$59,0)</f>
        <v>0</v>
      </c>
      <c r="H75" s="14" t="n">
        <f aca="false">IF(7&gt;=Inputs!$B$60,Inputs!$B$59,0)</f>
        <v>0</v>
      </c>
      <c r="I75" s="14" t="n">
        <f aca="false">IF(8&gt;=Inputs!$B$60,Inputs!$B$59,0)</f>
        <v>0</v>
      </c>
      <c r="J75" s="14" t="n">
        <f aca="false">IF(9&gt;=Inputs!$B$60,Inputs!$B$59,0)</f>
        <v>0</v>
      </c>
      <c r="K75" s="14" t="n">
        <f aca="false">IF(10&gt;=Inputs!$B$60,Inputs!$B$59,0)</f>
        <v>0</v>
      </c>
      <c r="L75" s="14" t="n">
        <f aca="false">IF(11&gt;=Inputs!$B$60,Inputs!$B$59,0)</f>
        <v>0</v>
      </c>
      <c r="M75" s="14" t="n">
        <f aca="false">IF(12&gt;=Inputs!$B$60,Inputs!$B$59,0)</f>
        <v>0</v>
      </c>
      <c r="N75" s="14" t="n">
        <f aca="false">IF(13&gt;=Inputs!$B$60,Inputs!$B$59,0)</f>
        <v>0</v>
      </c>
      <c r="O75" s="14" t="n">
        <f aca="false">IF(14&gt;=Inputs!$B$60,Inputs!$B$59,0)</f>
        <v>0</v>
      </c>
      <c r="P75" s="14" t="n">
        <f aca="false">IF(15&gt;=Inputs!$B$60,Inputs!$B$59,0)</f>
        <v>0</v>
      </c>
      <c r="Q75" s="14" t="n">
        <f aca="false">IF(16&gt;=Inputs!$B$60,Inputs!$B$59,0)</f>
        <v>0</v>
      </c>
      <c r="R75" s="14" t="n">
        <f aca="false">IF(17&gt;=Inputs!$B$60,Inputs!$B$59,0)</f>
        <v>0</v>
      </c>
      <c r="S75" s="14" t="n">
        <f aca="false">IF(18&gt;=Inputs!$B$60,Inputs!$B$59,0)</f>
        <v>0</v>
      </c>
      <c r="T75" s="14" t="n">
        <f aca="false">IF(19&gt;=Inputs!$B$60,Inputs!$B$59,0)</f>
        <v>0</v>
      </c>
      <c r="U75" s="14" t="n">
        <f aca="false">IF(20&gt;=Inputs!$B$60,Inputs!$B$59,0)</f>
        <v>0</v>
      </c>
      <c r="V75" s="14" t="n">
        <f aca="false">IF(21&gt;=Inputs!$B$60,Inputs!$B$59,0)</f>
        <v>0</v>
      </c>
      <c r="W75" s="14" t="n">
        <f aca="false">IF(22&gt;=Inputs!$B$60,Inputs!$B$59,0)</f>
        <v>0</v>
      </c>
      <c r="X75" s="14" t="n">
        <f aca="false">IF(23&gt;=Inputs!$B$60,Inputs!$B$59,0)</f>
        <v>0</v>
      </c>
      <c r="Y75" s="14" t="n">
        <f aca="false">IF(24&gt;=Inputs!$B$60,Inputs!$B$59,0)</f>
        <v>0</v>
      </c>
    </row>
    <row r="76" customFormat="false" ht="15" hidden="false" customHeight="false" outlineLevel="0" collapsed="false">
      <c r="A76" s="3" t="s">
        <v>129</v>
      </c>
      <c r="B76" s="14" t="n">
        <f aca="false">B70-B71-B72-B73-B74-B75</f>
        <v>-2662.53333333333</v>
      </c>
      <c r="C76" s="14" t="n">
        <f aca="false">C70-C71-C72-C73-C74-C75</f>
        <v>-1556.24133333333</v>
      </c>
      <c r="D76" s="14" t="n">
        <f aca="false">D70-D71-D72-D73-D74-D75</f>
        <v>-461.012253333333</v>
      </c>
      <c r="E76" s="14" t="n">
        <f aca="false">E70-E71-E72-E73-E74-E75</f>
        <v>1740.73120253333</v>
      </c>
      <c r="F76" s="14" t="n">
        <f aca="false">F70-F71-F72-F73-F74-F75</f>
        <v>3920.45722384133</v>
      </c>
      <c r="G76" s="14" t="n">
        <f aca="false">G70-G71-G72-G73-G74-G75</f>
        <v>6078.38598493625</v>
      </c>
      <c r="H76" s="14" t="n">
        <f aca="false">H70-H71-H72-H73-H74-H75</f>
        <v>8214.73545842023</v>
      </c>
      <c r="I76" s="14" t="n">
        <f aca="false">I70-I71-I72-I73-I74-I75</f>
        <v>10329.7214371694</v>
      </c>
      <c r="J76" s="14" t="n">
        <f aca="false">J70-J71-J72-J73-J74-J75</f>
        <v>12423.557556131</v>
      </c>
      <c r="K76" s="14" t="n">
        <f aca="false">K70-K71-K72-K73-K74-K75</f>
        <v>14496.455313903</v>
      </c>
      <c r="L76" s="14" t="n">
        <f aca="false">L70-L71-L72-L73-L74-L75</f>
        <v>16548.6240940973</v>
      </c>
      <c r="M76" s="14" t="n">
        <f aca="false">M70-M71-M72-M73-M74-M75</f>
        <v>18580.2711864897</v>
      </c>
      <c r="N76" s="14" t="n">
        <f aca="false">N70-N71-N72-N73-N74-N75</f>
        <v>-1204.59819204188</v>
      </c>
      <c r="O76" s="14" t="n">
        <f aca="false">O70-O71-O72-O73-O74-O75</f>
        <v>786.619123211869</v>
      </c>
      <c r="P76" s="14" t="n">
        <f aca="false">P70-P71-P72-P73-P74-P75</f>
        <v>2757.92426531308</v>
      </c>
      <c r="Q76" s="14" t="n">
        <f aca="false">Q70-Q71-Q72-Q73-Q74-Q75</f>
        <v>4709.51635599328</v>
      </c>
      <c r="R76" s="14" t="n">
        <f aca="false">R70-R71-R72-R73-R74-R75</f>
        <v>6641.59252576669</v>
      </c>
      <c r="S76" s="14" t="n">
        <f aca="false">S70-S71-S72-S73-S74-S75</f>
        <v>8554.34793384235</v>
      </c>
      <c r="T76" s="14" t="n">
        <f aca="false">T70-T71-T72-T73-T74-T75</f>
        <v>3182.57578783726</v>
      </c>
      <c r="U76" s="14" t="n">
        <f aca="false">U70-U71-U72-U73-U74-U75</f>
        <v>5057.26736329221</v>
      </c>
      <c r="V76" s="14" t="n">
        <f aca="false">V70-V71-V72-V73-V74-V75</f>
        <v>6913.21202299263</v>
      </c>
      <c r="W76" s="14" t="n">
        <f aca="false">W70-W71-W72-W73-W74-W75</f>
        <v>8750.59723609605</v>
      </c>
      <c r="X76" s="14" t="n">
        <f aca="false">X70-X71-X72-X73-X74-X75</f>
        <v>10569.6085970684</v>
      </c>
      <c r="Y76" s="14" t="n">
        <f aca="false">Y70-Y71-Y72-Y73-Y74-Y75</f>
        <v>12370.4298444311</v>
      </c>
    </row>
    <row r="77" customFormat="false" ht="15" hidden="false" customHeight="false" outlineLevel="0" collapsed="false">
      <c r="A77" s="0" t="s">
        <v>130</v>
      </c>
      <c r="B77" s="14" t="n">
        <f aca="false">MAX(B76*Inputs!$B$48,MAX(B70*Inputs!$B$49,250))</f>
        <v>250</v>
      </c>
      <c r="C77" s="14" t="n">
        <f aca="false">MAX(C76*Inputs!$B$48,MAX(C70*Inputs!$B$49,250))</f>
        <v>250</v>
      </c>
      <c r="D77" s="14" t="n">
        <f aca="false">MAX(D76*Inputs!$B$48,MAX(D70*Inputs!$B$49,250))</f>
        <v>250</v>
      </c>
      <c r="E77" s="14" t="n">
        <f aca="false">MAX(E76*Inputs!$B$48,MAX(E70*Inputs!$B$49,250))</f>
        <v>348.146240506667</v>
      </c>
      <c r="F77" s="14" t="n">
        <f aca="false">MAX(F76*Inputs!$B$48,MAX(F70*Inputs!$B$49,250))</f>
        <v>784.091444768267</v>
      </c>
      <c r="G77" s="14" t="n">
        <f aca="false">MAX(G76*Inputs!$B$48,MAX(G70*Inputs!$B$49,250))</f>
        <v>1215.67719698725</v>
      </c>
      <c r="H77" s="14" t="n">
        <f aca="false">MAX(H76*Inputs!$B$48,MAX(H70*Inputs!$B$49,250))</f>
        <v>1642.94709168405</v>
      </c>
      <c r="I77" s="14" t="n">
        <f aca="false">MAX(I76*Inputs!$B$48,MAX(I70*Inputs!$B$49,250))</f>
        <v>2065.94428743387</v>
      </c>
      <c r="J77" s="14" t="n">
        <f aca="false">MAX(J76*Inputs!$B$48,MAX(J70*Inputs!$B$49,250))</f>
        <v>2484.7115112262</v>
      </c>
      <c r="K77" s="14" t="n">
        <f aca="false">MAX(K76*Inputs!$B$48,MAX(K70*Inputs!$B$49,250))</f>
        <v>2899.2910627806</v>
      </c>
      <c r="L77" s="14" t="n">
        <f aca="false">MAX(L76*Inputs!$B$48,MAX(L70*Inputs!$B$49,250))</f>
        <v>3309.72481881946</v>
      </c>
      <c r="M77" s="14" t="n">
        <f aca="false">MAX(M76*Inputs!$B$48,MAX(M70*Inputs!$B$49,250))</f>
        <v>3716.05423729794</v>
      </c>
      <c r="N77" s="14" t="n">
        <f aca="false">MAX(N76*Inputs!$B$48,MAX(N70*Inputs!$B$49,250))</f>
        <v>250</v>
      </c>
      <c r="O77" s="14" t="n">
        <f aca="false">MAX(O76*Inputs!$B$48,MAX(O70*Inputs!$B$49,250))</f>
        <v>250</v>
      </c>
      <c r="P77" s="14" t="n">
        <f aca="false">MAX(P76*Inputs!$B$48,MAX(P70*Inputs!$B$49,250))</f>
        <v>551.584853062616</v>
      </c>
      <c r="Q77" s="14" t="n">
        <f aca="false">MAX(Q76*Inputs!$B$48,MAX(Q70*Inputs!$B$49,250))</f>
        <v>941.903271198656</v>
      </c>
      <c r="R77" s="14" t="n">
        <f aca="false">MAX(R76*Inputs!$B$48,MAX(R70*Inputs!$B$49,250))</f>
        <v>1328.31850515334</v>
      </c>
      <c r="S77" s="14" t="n">
        <f aca="false">MAX(S76*Inputs!$B$48,MAX(S70*Inputs!$B$49,250))</f>
        <v>1710.86958676847</v>
      </c>
      <c r="T77" s="14" t="n">
        <f aca="false">MAX(T76*Inputs!$B$48,MAX(T70*Inputs!$B$49,250))</f>
        <v>636.515157567452</v>
      </c>
      <c r="U77" s="14" t="n">
        <f aca="false">MAX(U76*Inputs!$B$48,MAX(U70*Inputs!$B$49,250))</f>
        <v>1011.45347265844</v>
      </c>
      <c r="V77" s="14" t="n">
        <f aca="false">MAX(V76*Inputs!$B$48,MAX(V70*Inputs!$B$49,250))</f>
        <v>1382.64240459853</v>
      </c>
      <c r="W77" s="14" t="n">
        <f aca="false">MAX(W76*Inputs!$B$48,MAX(W70*Inputs!$B$49,250))</f>
        <v>1750.11944721921</v>
      </c>
      <c r="X77" s="14" t="n">
        <f aca="false">MAX(X76*Inputs!$B$48,MAX(X70*Inputs!$B$49,250))</f>
        <v>2113.92171941368</v>
      </c>
      <c r="Y77" s="14" t="n">
        <f aca="false">MAX(Y76*Inputs!$B$48,MAX(Y70*Inputs!$B$49,250))</f>
        <v>2474.08596888621</v>
      </c>
    </row>
    <row r="78" customFormat="false" ht="15" hidden="false" customHeight="false" outlineLevel="0" collapsed="false">
      <c r="A78" s="3" t="s">
        <v>131</v>
      </c>
      <c r="B78" s="14" t="n">
        <f aca="false">B76-B77</f>
        <v>-2912.53333333333</v>
      </c>
      <c r="C78" s="14" t="n">
        <f aca="false">C76-C77</f>
        <v>-1806.24133333333</v>
      </c>
      <c r="D78" s="14" t="n">
        <f aca="false">D76-D77</f>
        <v>-711.012253333333</v>
      </c>
      <c r="E78" s="14" t="n">
        <f aca="false">E76-E77</f>
        <v>1392.58496202667</v>
      </c>
      <c r="F78" s="14" t="n">
        <f aca="false">F76-F77</f>
        <v>3136.36577907307</v>
      </c>
      <c r="G78" s="14" t="n">
        <f aca="false">G76-G77</f>
        <v>4862.708787949</v>
      </c>
      <c r="H78" s="14" t="n">
        <f aca="false">H76-H77</f>
        <v>6571.78836673618</v>
      </c>
      <c r="I78" s="14" t="n">
        <f aca="false">I76-I77</f>
        <v>8263.77714973548</v>
      </c>
      <c r="J78" s="14" t="n">
        <f aca="false">J76-J77</f>
        <v>9938.8460449048</v>
      </c>
      <c r="K78" s="14" t="n">
        <f aca="false">K76-K77</f>
        <v>11597.1642511224</v>
      </c>
      <c r="L78" s="14" t="n">
        <f aca="false">L76-L77</f>
        <v>13238.8992752779</v>
      </c>
      <c r="M78" s="14" t="n">
        <f aca="false">M76-M77</f>
        <v>14864.2169491917</v>
      </c>
      <c r="N78" s="14" t="n">
        <f aca="false">N76-N77</f>
        <v>-1454.59819204188</v>
      </c>
      <c r="O78" s="14" t="n">
        <f aca="false">O76-O77</f>
        <v>536.619123211869</v>
      </c>
      <c r="P78" s="14" t="n">
        <f aca="false">P76-P77</f>
        <v>2206.33941225046</v>
      </c>
      <c r="Q78" s="14" t="n">
        <f aca="false">Q76-Q77</f>
        <v>3767.61308479462</v>
      </c>
      <c r="R78" s="14" t="n">
        <f aca="false">R76-R77</f>
        <v>5313.27402061335</v>
      </c>
      <c r="S78" s="14" t="n">
        <f aca="false">S76-S77</f>
        <v>6843.47834707388</v>
      </c>
      <c r="T78" s="14" t="n">
        <f aca="false">T76-T77</f>
        <v>2546.06063026981</v>
      </c>
      <c r="U78" s="14" t="n">
        <f aca="false">U76-U77</f>
        <v>4045.81389063377</v>
      </c>
      <c r="V78" s="14" t="n">
        <f aca="false">V76-V77</f>
        <v>5530.5696183941</v>
      </c>
      <c r="W78" s="14" t="n">
        <f aca="false">W76-W77</f>
        <v>7000.47778887684</v>
      </c>
      <c r="X78" s="14" t="n">
        <f aca="false">X76-X77</f>
        <v>8455.68687765472</v>
      </c>
      <c r="Y78" s="14" t="n">
        <f aca="false">Y76-Y77</f>
        <v>9896.34387554485</v>
      </c>
    </row>
    <row r="79" customFormat="false" ht="15" hidden="false" customHeight="false" outlineLevel="0" collapsed="false">
      <c r="A79" s="3" t="s">
        <v>132</v>
      </c>
      <c r="B79" s="14" t="n">
        <f aca="false">B78</f>
        <v>-2912.53333333333</v>
      </c>
      <c r="C79" s="14" t="n">
        <f aca="false">B79+C78</f>
        <v>-4718.77466666667</v>
      </c>
      <c r="D79" s="14" t="n">
        <f aca="false">C79+D78</f>
        <v>-5429.78692</v>
      </c>
      <c r="E79" s="14" t="n">
        <f aca="false">D79+E78</f>
        <v>-4037.20195797333</v>
      </c>
      <c r="F79" s="14" t="n">
        <f aca="false">E79+F78</f>
        <v>-900.836178900265</v>
      </c>
      <c r="G79" s="14" t="n">
        <f aca="false">F79+G78</f>
        <v>3961.87260904874</v>
      </c>
      <c r="H79" s="14" t="n">
        <f aca="false">G79+H78</f>
        <v>10533.6609757849</v>
      </c>
      <c r="I79" s="14" t="n">
        <f aca="false">H79+I78</f>
        <v>18797.4381255204</v>
      </c>
      <c r="J79" s="14" t="n">
        <f aca="false">I79+J78</f>
        <v>28736.2841704252</v>
      </c>
      <c r="K79" s="14" t="n">
        <f aca="false">J79+K78</f>
        <v>40333.4484215476</v>
      </c>
      <c r="L79" s="14" t="n">
        <f aca="false">K79+L78</f>
        <v>53572.3476968255</v>
      </c>
      <c r="M79" s="14" t="n">
        <f aca="false">L79+M78</f>
        <v>68436.5646460172</v>
      </c>
      <c r="N79" s="14" t="n">
        <f aca="false">M79+N78</f>
        <v>66981.9664539753</v>
      </c>
      <c r="O79" s="14" t="n">
        <f aca="false">N79+O78</f>
        <v>67518.5855771872</v>
      </c>
      <c r="P79" s="14" t="n">
        <f aca="false">O79+P78</f>
        <v>69724.9249894377</v>
      </c>
      <c r="Q79" s="14" t="n">
        <f aca="false">P79+Q78</f>
        <v>73492.5380742323</v>
      </c>
      <c r="R79" s="14" t="n">
        <f aca="false">Q79+R78</f>
        <v>78805.8120948456</v>
      </c>
      <c r="S79" s="14" t="n">
        <f aca="false">R79+S78</f>
        <v>85649.2904419195</v>
      </c>
      <c r="T79" s="14" t="n">
        <f aca="false">S79+T78</f>
        <v>88195.3510721893</v>
      </c>
      <c r="U79" s="14" t="n">
        <f aca="false">T79+U78</f>
        <v>92241.1649628231</v>
      </c>
      <c r="V79" s="14" t="n">
        <f aca="false">U79+V78</f>
        <v>97771.7345812172</v>
      </c>
      <c r="W79" s="14" t="n">
        <f aca="false">V79+W78</f>
        <v>104772.212370094</v>
      </c>
      <c r="X79" s="14" t="n">
        <f aca="false">W79+X78</f>
        <v>113227.899247749</v>
      </c>
      <c r="Y79" s="14" t="n">
        <f aca="false">X79+Y78</f>
        <v>123124.243123294</v>
      </c>
    </row>
    <row r="82" customFormat="false" ht="15" hidden="false" customHeight="false" outlineLevel="0" collapsed="false">
      <c r="A82" s="20" t="s">
        <v>135</v>
      </c>
    </row>
    <row r="83" customFormat="false" ht="39.55" hidden="false" customHeight="false" outlineLevel="0" collapsed="false">
      <c r="A83" s="10" t="s">
        <v>136</v>
      </c>
      <c r="B83" s="10" t="s">
        <v>137</v>
      </c>
      <c r="C83" s="10" t="s">
        <v>138</v>
      </c>
      <c r="D83" s="10" t="s">
        <v>139</v>
      </c>
      <c r="E83" s="10" t="s">
        <v>140</v>
      </c>
      <c r="F83" s="10" t="s">
        <v>141</v>
      </c>
      <c r="G83" s="10" t="s">
        <v>142</v>
      </c>
      <c r="H83" s="10" t="s">
        <v>143</v>
      </c>
    </row>
    <row r="84" customFormat="false" ht="15" hidden="false" customHeight="false" outlineLevel="0" collapsed="false">
      <c r="A84" s="3" t="s">
        <v>109</v>
      </c>
      <c r="B84" s="17" t="n">
        <f aca="false">M16</f>
        <v>1616.75674114727</v>
      </c>
      <c r="C84" s="14" t="n">
        <f aca="false">M26</f>
        <v>2581.85043778441</v>
      </c>
      <c r="D84" s="17" t="n">
        <f aca="false">Y16</f>
        <v>3093.22181933681</v>
      </c>
      <c r="E84" s="14" t="n">
        <f aca="false">Y26</f>
        <v>-19685.0230790738</v>
      </c>
      <c r="F84" s="14" t="n">
        <f aca="false">Y27</f>
        <v>-233159.259275101</v>
      </c>
      <c r="G84" s="23" t="n">
        <f aca="false">COUNTIF(B26:Y26,"&gt;0")</f>
        <v>5</v>
      </c>
      <c r="H84" s="14" t="n">
        <f aca="false">MIN(0,MIN(B27:Y27))</f>
        <v>-233159.259275101</v>
      </c>
    </row>
    <row r="85" customFormat="false" ht="15" hidden="false" customHeight="false" outlineLevel="0" collapsed="false">
      <c r="A85" s="3" t="s">
        <v>133</v>
      </c>
      <c r="B85" s="17" t="n">
        <f aca="false">M42</f>
        <v>4561.73768825781</v>
      </c>
      <c r="C85" s="14" t="n">
        <f aca="false">M52</f>
        <v>12192.4200685071</v>
      </c>
      <c r="D85" s="17" t="n">
        <f aca="false">Y42</f>
        <v>8969.11595594861</v>
      </c>
      <c r="E85" s="14" t="n">
        <f aca="false">Y52</f>
        <v>3644.669114033</v>
      </c>
      <c r="F85" s="14" t="n">
        <f aca="false">Y53</f>
        <v>48968.6946266704</v>
      </c>
      <c r="G85" s="23" t="n">
        <f aca="false">COUNTIF(B52:Y52,"&gt;0")</f>
        <v>15</v>
      </c>
      <c r="H85" s="14" t="n">
        <f aca="false">MIN(0,MIN(B53:Y53))</f>
        <v>-6306.61674075</v>
      </c>
    </row>
    <row r="86" customFormat="false" ht="15" hidden="false" customHeight="false" outlineLevel="0" collapsed="false">
      <c r="A86" s="3" t="s">
        <v>134</v>
      </c>
      <c r="B86" s="17" t="n">
        <f aca="false">M68</f>
        <v>6453.15665580741</v>
      </c>
      <c r="C86" s="14" t="n">
        <f aca="false">M78</f>
        <v>14864.2169491917</v>
      </c>
      <c r="D86" s="17" t="n">
        <f aca="false">Y68</f>
        <v>13048.1562088316</v>
      </c>
      <c r="E86" s="14" t="n">
        <f aca="false">Y78</f>
        <v>9896.34387554485</v>
      </c>
      <c r="F86" s="14" t="n">
        <f aca="false">Y79</f>
        <v>123124.243123294</v>
      </c>
      <c r="G86" s="23" t="n">
        <f aca="false">COUNTIF(B78:Y78,"&gt;0")</f>
        <v>20</v>
      </c>
      <c r="H86" s="14" t="n">
        <f aca="false">MIN(0,MIN(B79:Y79))</f>
        <v>-5429.78692</v>
      </c>
    </row>
    <row r="88" customFormat="false" ht="15" hidden="false" customHeight="false" outlineLevel="0" collapsed="false">
      <c r="A88" s="2"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2026-09-12T00:33:55Z</dcterms:created>
  <dc:creator>openpyxl</dc:creator>
  <dc:description/>
  <dc:language>en-US</dc:language>
  <cp:lastModifiedBy/>
  <dcterms:modified xsi:type="dcterms:W3CDTF">2026-09-12T00:33:55Z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